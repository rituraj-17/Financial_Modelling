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<sst xmlns="http://schemas.openxmlformats.org/spreadsheetml/2006/main" count="44" uniqueCount="43">
  <si>
    <t>DCF VALUATION</t>
  </si>
  <si>
    <t>S. NO.</t>
  </si>
  <si>
    <t>YEAR</t>
  </si>
  <si>
    <t>Growth Rate</t>
  </si>
  <si>
    <t xml:space="preserve">future cashflow </t>
  </si>
  <si>
    <t>Net present value of cashflow</t>
  </si>
  <si>
    <t>Revenue projections</t>
  </si>
  <si>
    <t>FAIR VALUE</t>
  </si>
  <si>
    <t>Fair value per share</t>
  </si>
  <si>
    <t>Calculation of WACC</t>
  </si>
  <si>
    <t>Market value of Equity</t>
  </si>
  <si>
    <t>Market value of Debt</t>
  </si>
  <si>
    <t>Beta</t>
  </si>
  <si>
    <t>Total Cost</t>
  </si>
  <si>
    <t>Proportion of equity</t>
  </si>
  <si>
    <t>Proportion of debt</t>
  </si>
  <si>
    <t xml:space="preserve">Risk free rate </t>
  </si>
  <si>
    <t>Expected market return</t>
  </si>
  <si>
    <t>Cost of equity</t>
  </si>
  <si>
    <t>TAX RATE%</t>
  </si>
  <si>
    <t>Cost of debt</t>
  </si>
  <si>
    <t>FCF</t>
  </si>
  <si>
    <t xml:space="preserve">WACC </t>
  </si>
  <si>
    <t>Cost of debt after tax</t>
  </si>
  <si>
    <t>Cash equivalent</t>
  </si>
  <si>
    <t>TERMINAL VALUE</t>
  </si>
  <si>
    <t>Current debt(mrq)</t>
  </si>
  <si>
    <t>CALCULATION OF TERMINAL VALUE</t>
  </si>
  <si>
    <t>Current revenue</t>
  </si>
  <si>
    <t>2033 FCF</t>
  </si>
  <si>
    <t>Market Price</t>
  </si>
  <si>
    <t>Terminal growth rate</t>
  </si>
  <si>
    <t>WACC</t>
  </si>
  <si>
    <t>CALCULATION OF FCF</t>
  </si>
  <si>
    <t>Year</t>
  </si>
  <si>
    <t>Value</t>
  </si>
  <si>
    <t>AVERAGE</t>
  </si>
  <si>
    <t>CFO</t>
  </si>
  <si>
    <t>Discount rate</t>
  </si>
  <si>
    <t>Outstanding shares (in millions)</t>
  </si>
  <si>
    <t>CAPEX</t>
  </si>
  <si>
    <t>Price per share</t>
  </si>
  <si>
    <t>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</si>
</sst>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20.0"/>
      <color theme="1"/>
      <name val="Arial"/>
    </font>
    <font>
      <color theme="1"/>
      <name val="Arial"/>
      <scheme val="minor"/>
    </font>
    <font>
      <color theme="1"/>
      <name val="Arial"/>
    </font>
    <font>
      <sz val="9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Font="1"/>
    <xf borderId="0" fillId="0" fontId="3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4" fontId="3" numFmtId="0" xfId="0" applyAlignment="1" applyFill="1" applyFont="1">
      <alignment horizontal="center" vertical="bottom"/>
    </xf>
    <xf borderId="0" fillId="5" fontId="3" numFmtId="0" xfId="0" applyAlignment="1" applyFill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0" fillId="5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4" fontId="3" numFmtId="0" xfId="0" applyAlignment="1" applyFont="1">
      <alignment readingOrder="0" vertical="bottom"/>
    </xf>
    <xf borderId="0" fillId="4" fontId="2" numFmtId="0" xfId="0" applyFont="1"/>
    <xf borderId="0" fillId="4" fontId="3" numFmtId="0" xfId="0" applyAlignment="1" applyFont="1">
      <alignment horizontal="right" vertical="bottom"/>
    </xf>
    <xf borderId="0" fillId="4" fontId="3" numFmtId="3" xfId="0" applyAlignment="1" applyFont="1" applyNumberFormat="1">
      <alignment horizontal="right" readingOrder="0" vertical="bottom"/>
    </xf>
    <xf borderId="0" fillId="4" fontId="3" numFmtId="0" xfId="0" applyAlignment="1" applyFont="1">
      <alignment vertical="bottom"/>
    </xf>
    <xf borderId="0" fillId="6" fontId="3" numFmtId="0" xfId="0" applyAlignment="1" applyFill="1" applyFont="1">
      <alignment horizontal="center" vertical="bottom"/>
    </xf>
    <xf borderId="0" fillId="0" fontId="3" numFmtId="0" xfId="0" applyAlignment="1" applyFont="1">
      <alignment readingOrder="0" vertical="bottom"/>
    </xf>
    <xf borderId="0" fillId="6" fontId="3" numFmtId="0" xfId="0" applyFont="1"/>
    <xf borderId="0" fillId="6" fontId="3" numFmtId="0" xfId="0" applyAlignment="1" applyFont="1">
      <alignment horizontal="center" readingOrder="0" vertical="bottom"/>
    </xf>
    <xf borderId="0" fillId="6" fontId="3" numFmtId="3" xfId="0" applyAlignment="1" applyFont="1" applyNumberFormat="1">
      <alignment horizontal="center" readingOrder="0" vertical="bottom"/>
    </xf>
    <xf borderId="0" fillId="7" fontId="3" numFmtId="0" xfId="0" applyAlignment="1" applyFill="1" applyFont="1">
      <alignment horizontal="center" vertical="center"/>
    </xf>
    <xf borderId="0" fillId="7" fontId="3" numFmtId="0" xfId="0" applyAlignment="1" applyFont="1">
      <alignment horizontal="right" vertical="center"/>
    </xf>
    <xf borderId="0" fillId="7" fontId="3" numFmtId="3" xfId="0" applyAlignment="1" applyFont="1" applyNumberFormat="1">
      <alignment horizontal="right" readingOrder="0" vertical="center"/>
    </xf>
    <xf borderId="0" fillId="6" fontId="3" numFmtId="0" xfId="0" applyAlignment="1" applyFont="1">
      <alignment horizontal="center" vertical="center"/>
    </xf>
    <xf borderId="0" fillId="4" fontId="3" numFmtId="0" xfId="0" applyAlignment="1" applyFont="1">
      <alignment horizontal="right" readingOrder="0" vertical="bottom"/>
    </xf>
    <xf borderId="0" fillId="6" fontId="3" numFmtId="0" xfId="0" applyAlignment="1" applyFont="1">
      <alignment vertical="bottom"/>
    </xf>
    <xf borderId="0" fillId="6" fontId="2" numFmtId="0" xfId="0" applyFont="1"/>
    <xf borderId="0" fillId="6" fontId="3" numFmtId="3" xfId="0" applyAlignment="1" applyFont="1" applyNumberFormat="1">
      <alignment horizontal="right" readingOrder="0" vertical="bottom"/>
    </xf>
    <xf borderId="0" fillId="6" fontId="3" numFmtId="0" xfId="0" applyAlignment="1" applyFont="1">
      <alignment horizontal="right" readingOrder="0" vertical="bottom"/>
    </xf>
    <xf borderId="0" fillId="5" fontId="3" numFmtId="0" xfId="0" applyAlignment="1" applyFont="1">
      <alignment horizontal="center"/>
    </xf>
    <xf borderId="0" fillId="5" fontId="3" numFmtId="3" xfId="0" applyAlignment="1" applyFont="1" applyNumberFormat="1">
      <alignment horizontal="right" readingOrder="0" vertical="bottom"/>
    </xf>
    <xf borderId="0" fillId="7" fontId="3" numFmtId="0" xfId="0" applyAlignment="1" applyFont="1">
      <alignment horizontal="right" readingOrder="0" vertical="center"/>
    </xf>
    <xf borderId="0" fillId="5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6.5"/>
    <col customWidth="1" min="3" max="3" width="11.25"/>
    <col customWidth="1" min="4" max="4" width="13.38"/>
    <col customWidth="1" min="5" max="5" width="20.5"/>
    <col customWidth="1" min="6" max="6" width="16.63"/>
    <col customWidth="1" min="7" max="7" width="13.13"/>
    <col customWidth="1" min="8" max="8" width="16.13"/>
    <col customWidth="1" min="10" max="10" width="12.0"/>
    <col customWidth="1" min="11" max="11" width="13.63"/>
    <col customWidth="1" min="13" max="13" width="19.75"/>
    <col customWidth="1" min="15" max="15" width="19.88"/>
  </cols>
  <sheetData>
    <row r="1" ht="24.75" customHeight="1">
      <c r="A1" s="1" t="s">
        <v>0</v>
      </c>
      <c r="I1" s="2"/>
      <c r="J1" s="2"/>
      <c r="K1" s="2"/>
    </row>
    <row r="2">
      <c r="A2" s="3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7" t="s">
        <v>9</v>
      </c>
      <c r="M2" s="8"/>
      <c r="N2" s="8"/>
      <c r="O2" s="8"/>
      <c r="P2" s="5"/>
    </row>
    <row r="3">
      <c r="A3" s="9">
        <v>1.0</v>
      </c>
      <c r="B3" s="9">
        <v>2024.0</v>
      </c>
      <c r="C3" s="9">
        <v>15.0</v>
      </c>
      <c r="D3" s="9">
        <f>C14*(1+C3/100)</f>
        <v>-1863.492599</v>
      </c>
      <c r="E3" s="9">
        <f>D3/((1+J22/100)^A3)</f>
        <v>-1832.342772</v>
      </c>
      <c r="F3" s="9">
        <f>C17*(1+C3/100)^A3</f>
        <v>92078.867</v>
      </c>
      <c r="G3" s="9">
        <f>D3/(1+J22/100)^A3 + G15/(1+J22/100)^A3</f>
        <v>229042.8887</v>
      </c>
      <c r="H3" s="9">
        <f>G3/K24</f>
        <v>125.1600485</v>
      </c>
      <c r="I3" s="5" t="s">
        <v>10</v>
      </c>
      <c r="K3" s="10">
        <f>K24*K25</f>
        <v>11053.2</v>
      </c>
      <c r="M3" s="5"/>
      <c r="N3" s="5"/>
      <c r="O3" s="9"/>
      <c r="P3" s="5"/>
    </row>
    <row r="4">
      <c r="A4" s="9">
        <v>2.0</v>
      </c>
      <c r="B4" s="9">
        <v>2025.0</v>
      </c>
      <c r="C4" s="9">
        <v>15.0</v>
      </c>
      <c r="D4" s="9">
        <f t="shared" ref="D4:D12" si="1">D3*(1+C4/100)</f>
        <v>-2143.016488</v>
      </c>
      <c r="E4" s="9">
        <f>D4/((1+J22/100)^A4)</f>
        <v>-2071.970686</v>
      </c>
      <c r="F4" s="9">
        <f>C17*(1+C4/100)^A4</f>
        <v>105890.6971</v>
      </c>
      <c r="G4" s="9">
        <f>G3 - G15*J22/(1+J22/100)/100^A4 + D4/(1+J22/100)^A4</f>
        <v>226931.6693</v>
      </c>
      <c r="H4" s="9">
        <f>G4/K24</f>
        <v>124.0063766</v>
      </c>
      <c r="I4" s="5" t="s">
        <v>11</v>
      </c>
      <c r="K4" s="11">
        <f>C16</f>
        <v>48193.54</v>
      </c>
      <c r="L4" s="12"/>
      <c r="M4" s="13"/>
      <c r="P4" s="5"/>
    </row>
    <row r="5">
      <c r="A5" s="9">
        <v>3.0</v>
      </c>
      <c r="B5" s="9">
        <v>2026.0</v>
      </c>
      <c r="C5" s="9">
        <v>15.0</v>
      </c>
      <c r="D5" s="9">
        <f t="shared" si="1"/>
        <v>-2464.468962</v>
      </c>
      <c r="E5" s="9">
        <f>D5/((1+J22/100)^A5)</f>
        <v>-2342.93637</v>
      </c>
      <c r="F5" s="9">
        <f>C17*(1+C5/100)^A5</f>
        <v>121774.3016</v>
      </c>
      <c r="G5" s="9">
        <f>G4 - G15*J22/100/(1+J22/100)^A5 + D5/(1+J22/100)^A5</f>
        <v>220793.9725</v>
      </c>
      <c r="H5" s="9">
        <f>G5/K24</f>
        <v>120.652444</v>
      </c>
      <c r="I5" s="4" t="s">
        <v>12</v>
      </c>
      <c r="K5" s="14">
        <v>0.93</v>
      </c>
      <c r="L5" s="5"/>
      <c r="M5" s="5"/>
      <c r="P5" s="5"/>
    </row>
    <row r="6">
      <c r="A6" s="9">
        <v>4.0</v>
      </c>
      <c r="B6" s="9">
        <v>2027.0</v>
      </c>
      <c r="C6" s="9">
        <v>15.0</v>
      </c>
      <c r="D6" s="9">
        <f t="shared" si="1"/>
        <v>-2834.139306</v>
      </c>
      <c r="E6" s="9">
        <f>D6/((1+J22/100)^A6)</f>
        <v>-2649.338078</v>
      </c>
      <c r="F6" s="9">
        <f>C17*(1+C6/100)^A6</f>
        <v>140040.4468</v>
      </c>
      <c r="G6" s="9">
        <f>G5 - J22*G15/(1+J22/100)/100^A6 + D6/(1+J22/100)^A6</f>
        <v>218144.6305</v>
      </c>
      <c r="H6" s="9">
        <f>G6/K24</f>
        <v>119.2047161</v>
      </c>
      <c r="I6" s="5" t="s">
        <v>13</v>
      </c>
      <c r="K6" s="9">
        <f>SUM(K3:K4)</f>
        <v>59246.74</v>
      </c>
      <c r="P6" s="5"/>
    </row>
    <row r="7">
      <c r="A7" s="9">
        <v>5.0</v>
      </c>
      <c r="B7" s="9">
        <v>2028.0</v>
      </c>
      <c r="C7" s="9">
        <v>15.0</v>
      </c>
      <c r="D7" s="9">
        <f t="shared" si="1"/>
        <v>-3259.260202</v>
      </c>
      <c r="E7" s="9">
        <f>D7/((1+J22/100)^A7)</f>
        <v>-2995.81002</v>
      </c>
      <c r="F7" s="9">
        <f>C17*(1+C7/100)^A7</f>
        <v>161046.5139</v>
      </c>
      <c r="G7" s="9">
        <f>G6 - G15*J22/(1+J22/100)/100^A7 + D7/(1+J22/100)^A7</f>
        <v>215148.8204</v>
      </c>
      <c r="H7" s="9">
        <f>G7/K24</f>
        <v>117.5676614</v>
      </c>
      <c r="I7" s="5" t="s">
        <v>14</v>
      </c>
      <c r="K7" s="10">
        <f>K3/K6</f>
        <v>0.1865621636</v>
      </c>
      <c r="P7" s="5"/>
    </row>
    <row r="8">
      <c r="A8" s="9">
        <v>6.0</v>
      </c>
      <c r="B8" s="9">
        <v>2029.0</v>
      </c>
      <c r="C8" s="9">
        <v>10.0</v>
      </c>
      <c r="D8" s="9">
        <f t="shared" si="1"/>
        <v>-3585.186222</v>
      </c>
      <c r="E8" s="9">
        <f>D8/((1+J22/100)^A8)</f>
        <v>-3240.305823</v>
      </c>
      <c r="F8" s="9">
        <f>C17*(1+C8/100)^A8</f>
        <v>141846.3737</v>
      </c>
      <c r="G8" s="9">
        <f>G7 - G15*J22/(1+J22/100)/100^A8 + D8/(1+J22/100)^A8</f>
        <v>211908.5146</v>
      </c>
      <c r="H8" s="9">
        <f>G8/K24</f>
        <v>115.7970025</v>
      </c>
      <c r="I8" s="5" t="s">
        <v>15</v>
      </c>
      <c r="K8" s="10">
        <f>K4/K6</f>
        <v>0.8134378364</v>
      </c>
      <c r="P8" s="5"/>
    </row>
    <row r="9">
      <c r="A9" s="9">
        <v>7.0</v>
      </c>
      <c r="B9" s="9">
        <v>2030.0</v>
      </c>
      <c r="C9" s="9">
        <v>10.0</v>
      </c>
      <c r="D9" s="9">
        <f t="shared" si="1"/>
        <v>-3943.704844</v>
      </c>
      <c r="E9" s="9">
        <f>D9/((1+J22/100)^A9)</f>
        <v>-3504.755561</v>
      </c>
      <c r="F9" s="9">
        <f>C17*(1+C9/100)^A9</f>
        <v>156031.011</v>
      </c>
      <c r="G9" s="9">
        <f>G8 - G15*J22/(1+J22/100)/100^A9 + D9/(1+J22/100)^A9</f>
        <v>208403.7591</v>
      </c>
      <c r="H9" s="9">
        <f>G9/K24</f>
        <v>113.8818355</v>
      </c>
      <c r="I9" s="4" t="s">
        <v>16</v>
      </c>
      <c r="K9" s="14">
        <v>1.13</v>
      </c>
      <c r="P9" s="5"/>
    </row>
    <row r="10">
      <c r="A10" s="9">
        <v>8.0</v>
      </c>
      <c r="B10" s="9">
        <v>2031.0</v>
      </c>
      <c r="C10" s="9">
        <v>10.0</v>
      </c>
      <c r="D10" s="9">
        <f t="shared" si="1"/>
        <v>-4338.075329</v>
      </c>
      <c r="E10" s="9">
        <f>D10/((1+J22/100)^A10)</f>
        <v>-3790.787725</v>
      </c>
      <c r="F10" s="9">
        <f>C17*(1+C10/100)^A10</f>
        <v>171634.1121</v>
      </c>
      <c r="G10" s="9">
        <f>G9 - G15*J22/(1+J22/100)/100^A10 + D10/(1+J22/100)^A10</f>
        <v>204612.9713</v>
      </c>
      <c r="H10" s="9">
        <f>G10/K24</f>
        <v>111.8103668</v>
      </c>
      <c r="I10" s="4" t="s">
        <v>17</v>
      </c>
      <c r="K10" s="14">
        <v>7.0</v>
      </c>
      <c r="P10" s="5"/>
    </row>
    <row r="11">
      <c r="A11" s="9">
        <v>9.0</v>
      </c>
      <c r="B11" s="9">
        <v>2032.0</v>
      </c>
      <c r="C11" s="9">
        <v>10.0</v>
      </c>
      <c r="D11" s="9">
        <f t="shared" si="1"/>
        <v>-4771.882862</v>
      </c>
      <c r="E11" s="9">
        <f>D11/((1+J22/100)^A11)</f>
        <v>-4100.163715</v>
      </c>
      <c r="F11" s="9">
        <f>C17*(1+C11/100)^A11</f>
        <v>188797.5233</v>
      </c>
      <c r="G11" s="9">
        <f>G10 - G15*J22/(1+J22/100)/100^A11 + D11/(1+J22/100)^A11</f>
        <v>200512.8076</v>
      </c>
      <c r="H11" s="9">
        <f>G11/K24</f>
        <v>109.5698402</v>
      </c>
      <c r="I11" s="5" t="s">
        <v>18</v>
      </c>
      <c r="K11" s="9">
        <f>K9/100 + K5*(K10-K9)</f>
        <v>5.4704</v>
      </c>
      <c r="P11" s="5"/>
    </row>
    <row r="12">
      <c r="A12" s="9">
        <v>10.0</v>
      </c>
      <c r="B12" s="9">
        <v>2033.0</v>
      </c>
      <c r="C12" s="9">
        <v>10.0</v>
      </c>
      <c r="D12" s="9">
        <f t="shared" si="1"/>
        <v>-5249.071148</v>
      </c>
      <c r="E12" s="9">
        <f>D12/((1+J22/100)^A12)</f>
        <v>-4434.788679</v>
      </c>
      <c r="F12" s="9">
        <f>C17*(1+C12/100)^A12</f>
        <v>207677.2757</v>
      </c>
      <c r="G12" s="9">
        <f>G11 - G15*J22/(1+J22/100)/100^A12 + D12/(1+J22/100)^A12</f>
        <v>196078.0189</v>
      </c>
      <c r="H12" s="9">
        <f>G12/K24</f>
        <v>107.1464584</v>
      </c>
      <c r="I12" s="5" t="s">
        <v>19</v>
      </c>
      <c r="K12" s="14">
        <v>28.8</v>
      </c>
      <c r="P12" s="5"/>
    </row>
    <row r="13">
      <c r="C13" s="5"/>
      <c r="D13" s="5"/>
      <c r="E13" s="5"/>
      <c r="F13" s="5"/>
      <c r="G13" s="5"/>
      <c r="H13" s="5"/>
      <c r="I13" s="5" t="s">
        <v>20</v>
      </c>
      <c r="K13" s="9">
        <f>K9</f>
        <v>1.13</v>
      </c>
      <c r="P13" s="5"/>
    </row>
    <row r="14">
      <c r="A14" s="15" t="s">
        <v>21</v>
      </c>
      <c r="B14" s="16"/>
      <c r="C14" s="17">
        <f>D22 + D28*(1-K12/100) - D25</f>
        <v>-1620.428347</v>
      </c>
      <c r="F14" s="15" t="s">
        <v>22</v>
      </c>
      <c r="G14" s="17">
        <f>K7*K11 + K8*K14</f>
        <v>1.675029205</v>
      </c>
      <c r="I14" s="5" t="s">
        <v>23</v>
      </c>
      <c r="K14" s="9">
        <f>K13*(1-K12/100)</f>
        <v>0.80456</v>
      </c>
      <c r="P14" s="5"/>
    </row>
    <row r="15">
      <c r="A15" s="15" t="s">
        <v>24</v>
      </c>
      <c r="B15" s="16"/>
      <c r="C15" s="18">
        <v>709.89</v>
      </c>
      <c r="F15" s="19" t="s">
        <v>25</v>
      </c>
      <c r="G15" s="17">
        <f>K17*(1+K18/100)/(K19/100 - K18/100)</f>
        <v>234800.1104</v>
      </c>
      <c r="P15" s="5"/>
    </row>
    <row r="16">
      <c r="A16" s="15" t="s">
        <v>26</v>
      </c>
      <c r="B16" s="16"/>
      <c r="C16" s="18">
        <v>48193.54</v>
      </c>
      <c r="I16" s="20" t="s">
        <v>27</v>
      </c>
      <c r="P16" s="5"/>
    </row>
    <row r="17">
      <c r="A17" s="15" t="s">
        <v>28</v>
      </c>
      <c r="B17" s="16"/>
      <c r="C17" s="18">
        <v>80068.58</v>
      </c>
      <c r="I17" s="21" t="s">
        <v>29</v>
      </c>
      <c r="J17" s="5"/>
      <c r="K17" s="9">
        <f>D12</f>
        <v>-5249.071148</v>
      </c>
      <c r="P17" s="5"/>
    </row>
    <row r="18">
      <c r="A18" s="19" t="s">
        <v>30</v>
      </c>
      <c r="B18" s="19"/>
      <c r="C18" s="17">
        <f>K25</f>
        <v>6.04</v>
      </c>
      <c r="I18" s="5" t="s">
        <v>31</v>
      </c>
      <c r="J18" s="5"/>
      <c r="K18" s="9">
        <f>J21</f>
        <v>4</v>
      </c>
      <c r="M18" s="5"/>
      <c r="N18" s="5"/>
      <c r="O18" s="5"/>
    </row>
    <row r="19">
      <c r="I19" s="5" t="s">
        <v>32</v>
      </c>
      <c r="J19" s="5"/>
      <c r="K19" s="9">
        <f>G14</f>
        <v>1.675029205</v>
      </c>
      <c r="O19" s="5"/>
    </row>
    <row r="20">
      <c r="A20" s="20" t="s">
        <v>33</v>
      </c>
    </row>
    <row r="21">
      <c r="A21" s="22"/>
      <c r="B21" s="23" t="s">
        <v>34</v>
      </c>
      <c r="C21" s="24" t="s">
        <v>35</v>
      </c>
      <c r="D21" s="20" t="s">
        <v>36</v>
      </c>
      <c r="I21" s="15" t="s">
        <v>31</v>
      </c>
      <c r="J21" s="17">
        <v>4.0</v>
      </c>
    </row>
    <row r="22">
      <c r="A22" s="25" t="s">
        <v>37</v>
      </c>
      <c r="B22" s="26">
        <v>2023.0</v>
      </c>
      <c r="C22" s="27">
        <v>6101.33</v>
      </c>
      <c r="D22" s="28">
        <f>(C22+C23+C24)/3</f>
        <v>6411.28</v>
      </c>
      <c r="I22" s="15" t="s">
        <v>38</v>
      </c>
      <c r="J22" s="29">
        <v>1.7</v>
      </c>
    </row>
    <row r="23">
      <c r="B23" s="26">
        <v>2022.0</v>
      </c>
      <c r="C23" s="27">
        <v>7753.2</v>
      </c>
    </row>
    <row r="24">
      <c r="B24" s="26">
        <v>2021.0</v>
      </c>
      <c r="C24" s="27">
        <v>5379.31</v>
      </c>
      <c r="I24" s="30" t="s">
        <v>39</v>
      </c>
      <c r="J24" s="31"/>
      <c r="K24" s="32">
        <v>1830.0</v>
      </c>
      <c r="L24" s="8"/>
    </row>
    <row r="25">
      <c r="A25" s="25" t="s">
        <v>40</v>
      </c>
      <c r="B25" s="26">
        <v>2023.0</v>
      </c>
      <c r="C25" s="27">
        <v>10349.86</v>
      </c>
      <c r="D25" s="28">
        <f>(C25+C26+C27)/3</f>
        <v>8212.16</v>
      </c>
      <c r="I25" s="30" t="s">
        <v>41</v>
      </c>
      <c r="J25" s="31"/>
      <c r="K25" s="33">
        <v>6.04</v>
      </c>
      <c r="L25" s="12"/>
    </row>
    <row r="26">
      <c r="B26" s="26">
        <v>2022.0</v>
      </c>
      <c r="C26" s="27">
        <v>7175.06</v>
      </c>
      <c r="I26" s="34"/>
      <c r="J26" s="13"/>
      <c r="K26" s="35"/>
      <c r="L26" s="34"/>
    </row>
    <row r="27">
      <c r="B27" s="26">
        <v>2021.0</v>
      </c>
      <c r="C27" s="27">
        <v>7111.56</v>
      </c>
      <c r="J27" s="13"/>
      <c r="K27" s="35"/>
    </row>
    <row r="28">
      <c r="A28" s="25" t="s">
        <v>42</v>
      </c>
      <c r="B28" s="26">
        <v>2023.0</v>
      </c>
      <c r="C28" s="36">
        <v>403.3</v>
      </c>
      <c r="D28" s="28">
        <f>(C28+C29+C30)/3</f>
        <v>253.4433333</v>
      </c>
      <c r="J28" s="13"/>
      <c r="K28" s="35"/>
    </row>
    <row r="29">
      <c r="B29" s="26">
        <v>2022.0</v>
      </c>
      <c r="C29" s="36">
        <v>249.39</v>
      </c>
      <c r="I29" s="34"/>
      <c r="J29" s="13"/>
      <c r="K29" s="35"/>
      <c r="L29" s="34"/>
    </row>
    <row r="30">
      <c r="B30" s="26">
        <v>2021.0</v>
      </c>
      <c r="C30" s="36">
        <v>107.64</v>
      </c>
      <c r="J30" s="13"/>
      <c r="K30" s="35"/>
    </row>
    <row r="31">
      <c r="J31" s="13"/>
      <c r="K31" s="35"/>
    </row>
    <row r="32">
      <c r="I32" s="34"/>
      <c r="J32" s="13"/>
      <c r="K32" s="37"/>
      <c r="L32" s="34"/>
    </row>
    <row r="33">
      <c r="J33" s="13"/>
      <c r="K33" s="37"/>
    </row>
    <row r="34">
      <c r="J34" s="13"/>
      <c r="K34" s="37"/>
    </row>
  </sheetData>
  <mergeCells count="28">
    <mergeCell ref="A1:H1"/>
    <mergeCell ref="I2:K2"/>
    <mergeCell ref="I3:J3"/>
    <mergeCell ref="I4:J4"/>
    <mergeCell ref="I5:J5"/>
    <mergeCell ref="I6:J6"/>
    <mergeCell ref="I7:J7"/>
    <mergeCell ref="A25:A27"/>
    <mergeCell ref="A28:A30"/>
    <mergeCell ref="D28:D30"/>
    <mergeCell ref="I16:K16"/>
    <mergeCell ref="A20:D20"/>
    <mergeCell ref="A22:A24"/>
    <mergeCell ref="D22:D24"/>
    <mergeCell ref="D25:D27"/>
    <mergeCell ref="I26:I28"/>
    <mergeCell ref="L26:L28"/>
    <mergeCell ref="L29:L31"/>
    <mergeCell ref="I29:I31"/>
    <mergeCell ref="I32:I34"/>
    <mergeCell ref="L32:L34"/>
    <mergeCell ref="I8:J8"/>
    <mergeCell ref="I9:J9"/>
    <mergeCell ref="I10:J10"/>
    <mergeCell ref="I11:J11"/>
    <mergeCell ref="I12:J12"/>
    <mergeCell ref="I13:J13"/>
    <mergeCell ref="I14:J14"/>
  </mergeCells>
  <drawing r:id="rId1"/>
</worksheet>
</file>