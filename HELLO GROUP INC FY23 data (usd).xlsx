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1" i="1"/>
  <c r="B27"/>
  <c r="B29" s="1"/>
  <c r="B26"/>
  <c r="B30" l="1"/>
</calcChain>
</file>

<file path=xl/sharedStrings.xml><?xml version="1.0" encoding="utf-8"?>
<sst xmlns="http://schemas.openxmlformats.org/spreadsheetml/2006/main" count="15" uniqueCount="15">
  <si>
    <t>ALL THE DATA IS IN THOUSANDS</t>
  </si>
  <si>
    <t>TOTAL REVENUE</t>
  </si>
  <si>
    <t>OPERATING INCOME</t>
  </si>
  <si>
    <t>EPS</t>
  </si>
  <si>
    <t>EBITDA</t>
  </si>
  <si>
    <t>TOTAL DEBT</t>
  </si>
  <si>
    <t>No. OF SHARES</t>
  </si>
  <si>
    <t>TOTAL ASSETS</t>
  </si>
  <si>
    <t>CASH AND CASH EQUIVALENTS</t>
  </si>
  <si>
    <t>PRICE PER SHARE</t>
  </si>
  <si>
    <t>MC</t>
  </si>
  <si>
    <t>EV</t>
  </si>
  <si>
    <t>EV/EBITDA</t>
  </si>
  <si>
    <t>EV/REVENUE</t>
  </si>
  <si>
    <t>P/E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</si>
</sst>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3" fontId="1" fillId="0" borderId="0" xfId="0" applyNumberFormat="1" applyFont="1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B6" sqref="B6"/>
    </sheetView>
  </sheetViews>
  <sheetFormatPr defaultRowHeight="14.4"/>
  <cols>
    <col min="1" max="1" width="32.109375" customWidth="1"/>
    <col min="2" max="2" width="21.218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s="2">
        <v>1680325.22</v>
      </c>
    </row>
    <row r="3" spans="1:10">
      <c r="A3" t="s">
        <v>2</v>
      </c>
      <c r="B3" s="2">
        <v>322702.24</v>
      </c>
    </row>
    <row r="4" spans="1:10">
      <c r="A4" t="s">
        <v>5</v>
      </c>
      <c r="B4" s="2">
        <v>320005</v>
      </c>
    </row>
    <row r="5" spans="1:10">
      <c r="A5" t="s">
        <v>7</v>
      </c>
      <c r="B5" s="2">
        <v>2271921.2599999998</v>
      </c>
    </row>
    <row r="6" spans="1:10">
      <c r="A6" t="s">
        <v>8</v>
      </c>
      <c r="B6" s="4">
        <v>204520.82</v>
      </c>
    </row>
    <row r="7" spans="1:10">
      <c r="A7" t="s">
        <v>4</v>
      </c>
      <c r="B7" s="2">
        <v>391186.88</v>
      </c>
    </row>
    <row r="23" spans="1:2">
      <c r="A23" t="s">
        <v>6</v>
      </c>
      <c r="B23" s="5">
        <v>375085190</v>
      </c>
    </row>
    <row r="24" spans="1:2">
      <c r="A24" t="s">
        <v>3</v>
      </c>
      <c r="B24" s="3">
        <v>1.4503999999999999</v>
      </c>
    </row>
    <row r="25" spans="1:2">
      <c r="A25" t="s">
        <v>9</v>
      </c>
      <c r="B25">
        <v>6.92</v>
      </c>
    </row>
    <row r="26" spans="1:2">
      <c r="A26" t="s">
        <v>10</v>
      </c>
      <c r="B26">
        <f>B25*B23</f>
        <v>2595589514.8000002</v>
      </c>
    </row>
    <row r="27" spans="1:2">
      <c r="A27" t="s">
        <v>11</v>
      </c>
      <c r="B27">
        <f>B26+B4*1000 - B6*1000</f>
        <v>2711073694.8000002</v>
      </c>
    </row>
    <row r="29" spans="1:2">
      <c r="A29" t="s">
        <v>12</v>
      </c>
      <c r="B29">
        <f>B27/B7/1000</f>
        <v>6.9303799115144153</v>
      </c>
    </row>
    <row r="30" spans="1:2">
      <c r="A30" t="s">
        <v>13</v>
      </c>
      <c r="B30">
        <f>B27/B2/1000</f>
        <v>1.613422010531985</v>
      </c>
    </row>
    <row r="31" spans="1:2">
      <c r="A31" t="s">
        <v>14</v>
      </c>
      <c r="B31">
        <f>B25/B24</f>
        <v>4.7710976282404856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2024-12-24T09:49:30Z</dcterms:created>
  <dcterms:modified xsi:type="dcterms:W3CDTF">2024-12-24T10:28:51Z</dcterms:modified>
</cp:coreProperties>
</file>