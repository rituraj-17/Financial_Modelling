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7" i="1"/>
  <c r="B14"/>
  <c r="B23"/>
  <c r="B22" s="1"/>
  <c r="B25" l="1"/>
  <c r="B26"/>
</calcChain>
</file>

<file path=xl/sharedStrings.xml><?xml version="1.0" encoding="utf-8"?>
<sst xmlns="http://schemas.openxmlformats.org/spreadsheetml/2006/main" count="20" uniqueCount="20">
  <si>
    <t>TOTAL ASSETS</t>
  </si>
  <si>
    <t xml:space="preserve">ALL THE DATA IS IN THOUSANDS, EXCEPT PER SHARES </t>
  </si>
  <si>
    <t>CASH AND CASH EQUIVALENTS</t>
  </si>
  <si>
    <t>TOTAL CURRENT LIABILITIES</t>
  </si>
  <si>
    <t>DEBT</t>
  </si>
  <si>
    <t>REVENUE</t>
  </si>
  <si>
    <t>TOTAL OPERATING COSTS AND EXPENSES</t>
  </si>
  <si>
    <t>OPERATING INCOME</t>
  </si>
  <si>
    <t>DEPRECIATION</t>
  </si>
  <si>
    <t>IMPAIRMENTS AND AMORTIZATION OF INTANGIBLES</t>
  </si>
  <si>
    <t>EPS</t>
  </si>
  <si>
    <t>NUMBER OF OUTSTANDING SHARES</t>
  </si>
  <si>
    <t>PER SHARE PRICE</t>
  </si>
  <si>
    <t>MC(Mark capitilization)</t>
  </si>
  <si>
    <t>EBITDA</t>
  </si>
  <si>
    <t>EV</t>
  </si>
  <si>
    <t>EV/EBITDA</t>
  </si>
  <si>
    <t>ALL THE DATA IS IN ITS TRUE VALUE(NOT IN THOUSANDS)</t>
  </si>
  <si>
    <t>EV/REVENUE</t>
  </si>
  <si>
    <t>P/E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</si>
</sst>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selection activeCell="B24" sqref="B24"/>
    </sheetView>
  </sheetViews>
  <sheetFormatPr defaultRowHeight="14.4"/>
  <cols>
    <col min="1" max="1" width="49.77734375" customWidth="1"/>
    <col min="2" max="2" width="41.6640625" customWidth="1"/>
  </cols>
  <sheetData>
    <row r="1" spans="1:6">
      <c r="A1" s="1" t="s">
        <v>1</v>
      </c>
      <c r="B1" s="1"/>
      <c r="C1" s="1"/>
      <c r="D1" s="1"/>
      <c r="E1" s="1"/>
      <c r="F1" s="1"/>
    </row>
    <row r="2" spans="1:6">
      <c r="A2" t="s">
        <v>0</v>
      </c>
      <c r="B2" s="2">
        <v>4507886</v>
      </c>
    </row>
    <row r="4" spans="1:6">
      <c r="A4" t="s">
        <v>2</v>
      </c>
      <c r="B4" s="2">
        <v>862440</v>
      </c>
    </row>
    <row r="5" spans="1:6">
      <c r="A5" t="s">
        <v>3</v>
      </c>
      <c r="B5" s="2">
        <v>531768</v>
      </c>
    </row>
    <row r="6" spans="1:6">
      <c r="A6" t="s">
        <v>4</v>
      </c>
      <c r="B6" s="2">
        <v>3842242</v>
      </c>
    </row>
    <row r="8" spans="1:6">
      <c r="A8" t="s">
        <v>5</v>
      </c>
      <c r="B8" s="2">
        <v>3364504</v>
      </c>
    </row>
    <row r="9" spans="1:6">
      <c r="A9" t="s">
        <v>6</v>
      </c>
      <c r="B9" s="2">
        <v>2447608</v>
      </c>
    </row>
    <row r="10" spans="1:6">
      <c r="A10" t="s">
        <v>7</v>
      </c>
      <c r="B10" s="2">
        <v>916896</v>
      </c>
    </row>
    <row r="11" spans="1:6">
      <c r="A11" t="s">
        <v>8</v>
      </c>
      <c r="B11" s="2">
        <v>61807</v>
      </c>
    </row>
    <row r="12" spans="1:6">
      <c r="A12" t="s">
        <v>9</v>
      </c>
      <c r="B12" s="2">
        <v>47731</v>
      </c>
    </row>
    <row r="14" spans="1:6">
      <c r="A14" t="s">
        <v>14</v>
      </c>
      <c r="B14" s="2">
        <f>B10+B11+B12</f>
        <v>1026434</v>
      </c>
    </row>
    <row r="15" spans="1:6">
      <c r="B15" s="2"/>
    </row>
    <row r="16" spans="1:6">
      <c r="B16" s="2"/>
    </row>
    <row r="17" spans="1:7">
      <c r="A17" s="1" t="s">
        <v>17</v>
      </c>
      <c r="B17" s="1"/>
      <c r="C17" s="1"/>
      <c r="D17" s="1"/>
      <c r="E17" s="1"/>
      <c r="F17" s="1"/>
      <c r="G17" s="1"/>
    </row>
    <row r="18" spans="1:7">
      <c r="B18" s="2"/>
    </row>
    <row r="19" spans="1:7">
      <c r="A19" t="s">
        <v>10</v>
      </c>
      <c r="B19" s="3">
        <v>2.36</v>
      </c>
    </row>
    <row r="20" spans="1:7">
      <c r="A20" t="s">
        <v>11</v>
      </c>
      <c r="B20" s="2">
        <v>268890470</v>
      </c>
    </row>
    <row r="21" spans="1:7">
      <c r="A21" t="s">
        <v>12</v>
      </c>
      <c r="B21" s="3">
        <v>36.36</v>
      </c>
    </row>
    <row r="22" spans="1:7">
      <c r="A22" t="s">
        <v>15</v>
      </c>
      <c r="B22">
        <f>B23 + B6*1000 - B4*1000</f>
        <v>12756659489.200001</v>
      </c>
    </row>
    <row r="23" spans="1:7">
      <c r="A23" t="s">
        <v>13</v>
      </c>
      <c r="B23">
        <f>B20*B21</f>
        <v>9776857489.2000008</v>
      </c>
    </row>
    <row r="25" spans="1:7">
      <c r="A25" t="s">
        <v>16</v>
      </c>
      <c r="B25">
        <f>B22/B14/1000</f>
        <v>12.428134190020986</v>
      </c>
    </row>
    <row r="26" spans="1:7">
      <c r="A26" t="s">
        <v>18</v>
      </c>
      <c r="B26">
        <f>B22/B8/1000</f>
        <v>3.7915423756963884</v>
      </c>
    </row>
    <row r="27" spans="1:7">
      <c r="A27" t="s">
        <v>19</v>
      </c>
      <c r="B27">
        <f>B21/B19</f>
        <v>15.40677966101695</v>
      </c>
    </row>
  </sheetData>
  <mergeCells count="2">
    <mergeCell ref="A1:F1"/>
    <mergeCell ref="A17:G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2024-12-23T13:10:26Z</dcterms:created>
  <dcterms:modified xsi:type="dcterms:W3CDTF">2024-12-23T13:36:33Z</dcterms:modified>
</cp:coreProperties>
</file>