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TSUBISHI" sheetId="1" r:id="rId5"/>
    <sheet state="visible" name="HONDA" sheetId="2" r:id="rId6"/>
    <sheet state="visible" name="NISSAN" sheetId="3" r:id="rId7"/>
    <sheet state="visible" name="COMPARISON" sheetId="4" r:id="rId8"/>
  </sheets>
  <definedNames/>
  <calcPr/>
</workbook>
</file>

<file path=xl/sharedStrings.xml><?xml version="1.0" encoding="utf-8"?>
<sst xmlns="http://schemas.openxmlformats.org/spreadsheetml/2006/main" count="121" uniqueCount="43">
  <si>
    <t>DCF VALUATION</t>
  </si>
  <si>
    <t>(All the data is in millions except the per share data)</t>
  </si>
  <si>
    <t>S. No.</t>
  </si>
  <si>
    <t>Year</t>
  </si>
  <si>
    <t>Growth Rate</t>
  </si>
  <si>
    <t xml:space="preserve">Future Cashflow </t>
  </si>
  <si>
    <t>Net present value of cashflow</t>
  </si>
  <si>
    <t>Revenue projections</t>
  </si>
  <si>
    <t>Fair Value</t>
  </si>
  <si>
    <t>Fair value per share</t>
  </si>
  <si>
    <t>Calculation of WACC</t>
  </si>
  <si>
    <t>Market value of Equity</t>
  </si>
  <si>
    <t>Market value of Debt</t>
  </si>
  <si>
    <t>Beta</t>
  </si>
  <si>
    <t>Total Cost</t>
  </si>
  <si>
    <t>Proportion of equity</t>
  </si>
  <si>
    <t>Proportion of debt</t>
  </si>
  <si>
    <t xml:space="preserve">Risk free rate </t>
  </si>
  <si>
    <t>Expected market return</t>
  </si>
  <si>
    <t>Cost of equity</t>
  </si>
  <si>
    <t>TAX RATE%</t>
  </si>
  <si>
    <t>Cost of debt</t>
  </si>
  <si>
    <t>FCF</t>
  </si>
  <si>
    <t xml:space="preserve">WACC </t>
  </si>
  <si>
    <t>Cost of debt after tax</t>
  </si>
  <si>
    <t>Cash equivalent</t>
  </si>
  <si>
    <t>TERMINAL VALUE</t>
  </si>
  <si>
    <t>Current debt(mrq)</t>
  </si>
  <si>
    <t>Current revenue</t>
  </si>
  <si>
    <t>CALCULATION OF TERMINAL VALUE</t>
  </si>
  <si>
    <t>Market Price</t>
  </si>
  <si>
    <t>2033 FCF</t>
  </si>
  <si>
    <t>Terminal growth rate</t>
  </si>
  <si>
    <t>WACC</t>
  </si>
  <si>
    <t>Discount rate</t>
  </si>
  <si>
    <t>Outstanding shares</t>
  </si>
  <si>
    <t>Share Price</t>
  </si>
  <si>
    <t>CALCULATION OF FCF</t>
  </si>
  <si>
    <t>Value</t>
  </si>
  <si>
    <t>AVERAGE</t>
  </si>
  <si>
    <t>CFO</t>
  </si>
  <si>
    <t>CAPEX</t>
  </si>
  <si>
    <t>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</si>
</sst>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8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1.0"/>
      <color rgb="FF232A31"/>
      <name val="Arial"/>
    </font>
    <font>
      <sz val="11.0"/>
      <color rgb="FF232A31"/>
      <name val="GT America"/>
    </font>
    <font>
      <sz val="17.0"/>
      <color theme="1"/>
      <name val="Arial"/>
    </font>
    <font>
      <sz val="2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6" fontId="3" numFmtId="0" xfId="0" applyAlignment="1" applyFill="1" applyFont="1">
      <alignment vertical="bottom"/>
    </xf>
    <xf borderId="0" fillId="5" fontId="5" numFmtId="0" xfId="0" applyAlignment="1" applyFont="1">
      <alignment horizontal="right" readingOrder="0" vertical="bottom"/>
    </xf>
    <xf borderId="0" fillId="5" fontId="6" numFmtId="2" xfId="0" applyAlignment="1" applyFont="1" applyNumberFormat="1">
      <alignment horizontal="right" vertical="bottom"/>
    </xf>
    <xf borderId="0" fillId="7" fontId="3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4" fontId="2" numFmtId="0" xfId="0" applyFont="1"/>
    <xf borderId="0" fillId="4" fontId="3" numFmtId="0" xfId="0" applyAlignment="1" applyFont="1">
      <alignment horizontal="right" readingOrder="0" vertical="bottom"/>
    </xf>
    <xf borderId="0" fillId="4" fontId="3" numFmtId="2" xfId="0" applyAlignment="1" applyFont="1" applyNumberFormat="1">
      <alignment horizontal="right" vertical="bottom"/>
    </xf>
    <xf borderId="0" fillId="4" fontId="3" numFmtId="3" xfId="0" applyAlignment="1" applyFont="1" applyNumberFormat="1">
      <alignment horizontal="right" readingOrder="0" vertical="bottom"/>
    </xf>
    <xf borderId="0" fillId="4" fontId="3" numFmtId="0" xfId="0" applyAlignment="1" applyFont="1">
      <alignment vertical="bottom"/>
    </xf>
    <xf borderId="0" fillId="8" fontId="3" numFmtId="0" xfId="0" applyAlignment="1" applyFill="1" applyFont="1">
      <alignment horizontal="center" vertical="bottom"/>
    </xf>
    <xf borderId="0" fillId="4" fontId="3" numFmtId="0" xfId="0" applyAlignment="1" applyFont="1">
      <alignment horizontal="right" vertical="bottom"/>
    </xf>
    <xf borderId="0" fillId="5" fontId="3" numFmtId="3" xfId="0" applyAlignment="1" applyFont="1" applyNumberFormat="1">
      <alignment vertical="bottom"/>
    </xf>
    <xf borderId="0" fillId="9" fontId="3" numFmtId="0" xfId="0" applyAlignment="1" applyFill="1" applyFont="1">
      <alignment readingOrder="0" vertical="bottom"/>
    </xf>
    <xf borderId="0" fillId="9" fontId="2" numFmtId="0" xfId="0" applyFont="1"/>
    <xf borderId="0" fillId="9" fontId="3" numFmtId="4" xfId="0" applyAlignment="1" applyFont="1" applyNumberFormat="1">
      <alignment horizontal="right" readingOrder="0" vertical="bottom"/>
    </xf>
    <xf borderId="0" fillId="9" fontId="3" numFmtId="0" xfId="0" applyAlignment="1" applyFont="1">
      <alignment horizontal="right" readingOrder="0" vertical="bottom"/>
    </xf>
    <xf borderId="0" fillId="2" fontId="7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readingOrder="0" vertical="center"/>
    </xf>
    <xf borderId="0" fillId="3" fontId="3" numFmtId="0" xfId="0" applyAlignment="1" applyFont="1">
      <alignment vertical="bottom"/>
    </xf>
    <xf borderId="0" fillId="5" fontId="6" numFmtId="0" xfId="0" applyAlignment="1" applyFont="1">
      <alignment horizontal="right" vertical="bottom"/>
    </xf>
    <xf borderId="0" fillId="4" fontId="3" numFmtId="2" xfId="0" applyAlignment="1" applyFont="1" applyNumberFormat="1">
      <alignment horizontal="right" readingOrder="0" vertical="bottom"/>
    </xf>
    <xf borderId="0" fillId="4" fontId="3" numFmtId="3" xfId="0" applyAlignment="1" applyFont="1" applyNumberFormat="1">
      <alignment horizontal="right" vertical="bottom"/>
    </xf>
    <xf borderId="0" fillId="4" fontId="3" numFmtId="4" xfId="0" applyAlignment="1" applyFont="1" applyNumberFormat="1">
      <alignment horizontal="right" vertical="bottom"/>
    </xf>
    <xf borderId="0" fillId="8" fontId="3" numFmtId="0" xfId="0" applyAlignment="1" applyFont="1">
      <alignment vertical="bottom"/>
    </xf>
    <xf borderId="0" fillId="8" fontId="3" numFmtId="4" xfId="0" applyAlignment="1" applyFont="1" applyNumberFormat="1">
      <alignment horizontal="right" readingOrder="0" vertical="bottom"/>
    </xf>
    <xf borderId="0" fillId="8" fontId="3" numFmtId="0" xfId="0" applyAlignment="1" applyFont="1">
      <alignment readingOrder="0" vertical="bottom"/>
    </xf>
    <xf borderId="0" fillId="8" fontId="3" numFmtId="0" xfId="0" applyAlignment="1" applyFont="1">
      <alignment horizontal="right" readingOrder="0" vertical="bottom"/>
    </xf>
    <xf borderId="0" fillId="2" fontId="8" numFmtId="0" xfId="0" applyAlignment="1" applyFont="1">
      <alignment horizontal="center" vertical="bottom"/>
    </xf>
    <xf borderId="0" fillId="8" fontId="3" numFmtId="3" xfId="0" applyAlignment="1" applyFont="1" applyNumberFormat="1">
      <alignment horizontal="center" vertical="bottom"/>
    </xf>
    <xf borderId="0" fillId="10" fontId="3" numFmtId="0" xfId="0" applyAlignment="1" applyFill="1" applyFont="1">
      <alignment horizontal="center"/>
    </xf>
    <xf borderId="0" fillId="10" fontId="3" numFmtId="0" xfId="0" applyAlignment="1" applyFont="1">
      <alignment horizontal="right"/>
    </xf>
    <xf borderId="0" fillId="10" fontId="3" numFmtId="3" xfId="0" applyAlignment="1" applyFont="1" applyNumberFormat="1">
      <alignment horizontal="right"/>
    </xf>
    <xf borderId="0" fillId="8" fontId="3" numFmtId="0" xfId="0" applyAlignment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Future Cashflow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trendline>
            <c:name>Mitsubishi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MITSUBISHI!$D$3:$D$12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trendline>
            <c:name>Honda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HONDA!$D$3:$D$12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trendline>
            <c:name>Nissan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NISSAN!$D$3:$D$12</c:f>
              <c:numCache/>
            </c:numRef>
          </c:val>
        </c:ser>
        <c:axId val="68494059"/>
        <c:axId val="2040601370"/>
      </c:barChart>
      <c:catAx>
        <c:axId val="68494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2040601370"/>
      </c:catAx>
      <c:valAx>
        <c:axId val="2040601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Future Cashflow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9405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2"/>
            </a:solidFill>
            <a:ln cmpd="sng" w="762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MITSUBISHI!$H$14</c:f>
            </c:strRef>
          </c:cat>
          <c:val>
            <c:numRef>
              <c:f>HONDA!$G$14</c:f>
              <c:numCache/>
            </c:numRef>
          </c:val>
        </c:ser>
        <c:ser>
          <c:idx val="1"/>
          <c:order val="1"/>
          <c:spPr>
            <a:solidFill>
              <a:srgbClr val="F1C232"/>
            </a:solidFill>
            <a:ln cmpd="sng" w="762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MITSUBISHI!$H$14</c:f>
            </c:strRef>
          </c:cat>
          <c:val>
            <c:numRef>
              <c:f>NISSAN!$G$14</c:f>
              <c:numCache/>
            </c:numRef>
          </c:val>
        </c:ser>
        <c:ser>
          <c:idx val="2"/>
          <c:order val="2"/>
          <c:spPr>
            <a:solidFill>
              <a:srgbClr val="3D85C6"/>
            </a:solidFill>
            <a:ln cmpd="sng" w="76200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MITSUBISHI!$H$14</c:f>
            </c:strRef>
          </c:cat>
          <c:val>
            <c:numRef>
              <c:f>MITSUBISHI!$G$14</c:f>
              <c:numCache/>
            </c:numRef>
          </c:val>
        </c:ser>
        <c:axId val="1957342753"/>
        <c:axId val="1175142324"/>
      </c:bar3DChart>
      <c:catAx>
        <c:axId val="19573427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142324"/>
      </c:catAx>
      <c:valAx>
        <c:axId val="11751423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WACC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342753"/>
        <c:crosses val="max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801100" cy="5438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142875</xdr:colOff>
      <xdr:row>0</xdr:row>
      <xdr:rowOff>0</xdr:rowOff>
    </xdr:from>
    <xdr:ext cx="4343400" cy="2714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7.0"/>
    <col customWidth="1" min="3" max="3" width="6.88"/>
    <col customWidth="1" min="4" max="4" width="8.0"/>
    <col customWidth="1" min="6" max="6" width="15.75"/>
    <col customWidth="1" min="8" max="8" width="10.63"/>
    <col customWidth="1" min="10" max="10" width="6.75"/>
    <col customWidth="1" min="11" max="11" width="13.5"/>
    <col customWidth="1" min="12" max="12" width="24.0"/>
    <col customWidth="1" min="13" max="13" width="7.0"/>
    <col customWidth="1" min="16" max="16" width="29.5"/>
  </cols>
  <sheetData>
    <row r="1" ht="21.75" customHeight="1">
      <c r="A1" s="1" t="s">
        <v>0</v>
      </c>
      <c r="I1" s="1"/>
      <c r="J1" s="1"/>
      <c r="K1" s="1"/>
      <c r="L1" s="2" t="s">
        <v>1</v>
      </c>
      <c r="N1" s="3"/>
      <c r="O1" s="3"/>
      <c r="P1" s="3"/>
      <c r="Q1" s="3"/>
      <c r="R1" s="3"/>
      <c r="S1" s="3"/>
    </row>
    <row r="2">
      <c r="A2" s="4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6" t="s">
        <v>7</v>
      </c>
      <c r="G2" s="4" t="s">
        <v>8</v>
      </c>
      <c r="H2" s="6" t="s">
        <v>9</v>
      </c>
      <c r="I2" s="7" t="s">
        <v>10</v>
      </c>
      <c r="N2" s="8"/>
      <c r="O2" s="8"/>
      <c r="P2" s="3"/>
      <c r="Q2" s="3"/>
      <c r="R2" s="3"/>
      <c r="S2" s="3"/>
    </row>
    <row r="3">
      <c r="A3" s="9">
        <v>1.0</v>
      </c>
      <c r="B3" s="9">
        <v>2024.0</v>
      </c>
      <c r="C3" s="9">
        <v>15.0</v>
      </c>
      <c r="D3" s="10">
        <f>C14*(1+C3/100)</f>
        <v>101.8325</v>
      </c>
      <c r="E3" s="10">
        <f>D3/((1+K23/100)^A3)</f>
        <v>96.7345636</v>
      </c>
      <c r="F3" s="10">
        <f>C17*(1+C3/100)^A3</f>
        <v>20375.102</v>
      </c>
      <c r="G3" s="10">
        <f>D3/(1+K23/100)^A3 + G15/(1+K23/100)^A3</f>
        <v>22409.69934</v>
      </c>
      <c r="H3" s="10">
        <f>G3/K25</f>
        <v>15.07235591</v>
      </c>
      <c r="I3" s="3" t="s">
        <v>11</v>
      </c>
      <c r="K3" s="10">
        <f>K25*K26</f>
        <v>5278.1684</v>
      </c>
      <c r="P3" s="3"/>
      <c r="Q3" s="3"/>
      <c r="R3" s="3"/>
      <c r="S3" s="3"/>
    </row>
    <row r="4">
      <c r="A4" s="9">
        <v>2.0</v>
      </c>
      <c r="B4" s="9">
        <v>2025.0</v>
      </c>
      <c r="C4" s="9">
        <v>15.0</v>
      </c>
      <c r="D4" s="10">
        <f t="shared" ref="D4:D12" si="1">D3*(1+C4/100)</f>
        <v>117.107375</v>
      </c>
      <c r="E4" s="10">
        <f>D4/((1+K23/100)^A4)</f>
        <v>105.675616</v>
      </c>
      <c r="F4" s="10">
        <f>C17*(1+C4/100)^A4</f>
        <v>23431.3673</v>
      </c>
      <c r="G4" s="10">
        <f>G3 - G15*K23/(1+K23/100)/100^A4 + D4/(1+K23/100)^A4</f>
        <v>22503.61597</v>
      </c>
      <c r="H4" s="10">
        <f>G4/K25</f>
        <v>15.13552252</v>
      </c>
      <c r="I4" s="3" t="s">
        <v>12</v>
      </c>
      <c r="K4" s="11">
        <f>C16</f>
        <v>3127.36</v>
      </c>
      <c r="P4" s="3"/>
      <c r="Q4" s="3"/>
      <c r="R4" s="3"/>
      <c r="S4" s="3"/>
    </row>
    <row r="5">
      <c r="A5" s="9">
        <v>3.0</v>
      </c>
      <c r="B5" s="9">
        <v>2026.0</v>
      </c>
      <c r="C5" s="9">
        <v>15.0</v>
      </c>
      <c r="D5" s="10">
        <f t="shared" si="1"/>
        <v>134.6734813</v>
      </c>
      <c r="E5" s="10">
        <f>D5/((1+K23/100)^A5)</f>
        <v>115.4430784</v>
      </c>
      <c r="F5" s="10">
        <f>C17*(1+C5/100)^A5</f>
        <v>26946.0724</v>
      </c>
      <c r="G5" s="10">
        <f>G4 - G15*K23/100/(1+K23/100)^A5 + D5/(1+K23/100)^A5</f>
        <v>21557.94868</v>
      </c>
      <c r="H5" s="10">
        <f>G5/K25</f>
        <v>14.49948391</v>
      </c>
      <c r="I5" s="12" t="s">
        <v>13</v>
      </c>
      <c r="K5" s="13">
        <v>0.42</v>
      </c>
      <c r="P5" s="3"/>
      <c r="Q5" s="3"/>
      <c r="R5" s="3"/>
      <c r="S5" s="3"/>
    </row>
    <row r="6">
      <c r="A6" s="9">
        <v>4.0</v>
      </c>
      <c r="B6" s="9">
        <v>2027.0</v>
      </c>
      <c r="C6" s="9">
        <v>15.0</v>
      </c>
      <c r="D6" s="10">
        <f t="shared" si="1"/>
        <v>154.8745034</v>
      </c>
      <c r="E6" s="10">
        <f>D6/((1+K23/100)^A6)</f>
        <v>126.113335</v>
      </c>
      <c r="F6" s="10">
        <f>C17*(1+C6/100)^A6</f>
        <v>30987.98325</v>
      </c>
      <c r="G6" s="10">
        <f>G5 - K23*G15/(1+K23/100)/100^A6 + D6/(1+K23/100)^A6</f>
        <v>21684.06084</v>
      </c>
      <c r="H6" s="10">
        <f>G6/K25</f>
        <v>14.58430466</v>
      </c>
      <c r="I6" s="3" t="s">
        <v>14</v>
      </c>
      <c r="K6" s="10">
        <f>SUM(K3:K4)</f>
        <v>8405.5284</v>
      </c>
      <c r="P6" s="3"/>
      <c r="Q6" s="3"/>
      <c r="R6" s="3"/>
      <c r="S6" s="3"/>
    </row>
    <row r="7">
      <c r="A7" s="9">
        <v>5.0</v>
      </c>
      <c r="B7" s="9">
        <v>2028.0</v>
      </c>
      <c r="C7" s="9">
        <v>15.0</v>
      </c>
      <c r="D7" s="10">
        <f t="shared" si="1"/>
        <v>178.105679</v>
      </c>
      <c r="E7" s="10">
        <f>D7/((1+K23/100)^A7)</f>
        <v>137.7698297</v>
      </c>
      <c r="F7" s="10">
        <f>C17*(1+C7/100)^A7</f>
        <v>35636.18074</v>
      </c>
      <c r="G7" s="10">
        <f>G6 - G15*K23/(1+K23/100)/100^A7 + D7/(1+K23/100)^A7</f>
        <v>21821.83065</v>
      </c>
      <c r="H7" s="10">
        <f>G7/K25</f>
        <v>14.67696613</v>
      </c>
      <c r="I7" s="3" t="s">
        <v>15</v>
      </c>
      <c r="K7" s="14">
        <f>K3/K6</f>
        <v>0.6279401067</v>
      </c>
      <c r="P7" s="3"/>
      <c r="Q7" s="3"/>
      <c r="R7" s="3"/>
      <c r="S7" s="3"/>
    </row>
    <row r="8">
      <c r="A8" s="9">
        <v>6.0</v>
      </c>
      <c r="B8" s="9">
        <v>2029.0</v>
      </c>
      <c r="C8" s="9">
        <v>10.0</v>
      </c>
      <c r="D8" s="10">
        <f t="shared" si="1"/>
        <v>195.9162468</v>
      </c>
      <c r="E8" s="10">
        <f>D8/((1+K23/100)^A8)</f>
        <v>143.9600795</v>
      </c>
      <c r="F8" s="10">
        <f>C17*(1+C8/100)^A8</f>
        <v>31387.59659</v>
      </c>
      <c r="G8" s="10">
        <f>G7 - G15*K23/(1+K23/100)/100^A8 + D8/(1+K23/100)^A8</f>
        <v>21965.79073</v>
      </c>
      <c r="H8" s="10">
        <f>G8/K25</f>
        <v>14.77379106</v>
      </c>
      <c r="I8" s="3" t="s">
        <v>16</v>
      </c>
      <c r="K8" s="10">
        <f>K4/K6</f>
        <v>0.3720598933</v>
      </c>
      <c r="P8" s="3"/>
      <c r="Q8" s="3"/>
      <c r="R8" s="3"/>
      <c r="S8" s="3"/>
    </row>
    <row r="9">
      <c r="A9" s="9">
        <v>7.0</v>
      </c>
      <c r="B9" s="9">
        <v>2030.0</v>
      </c>
      <c r="C9" s="9">
        <v>10.0</v>
      </c>
      <c r="D9" s="10">
        <f t="shared" si="1"/>
        <v>215.5078715</v>
      </c>
      <c r="E9" s="10">
        <f>D9/((1+K23/100)^A9)</f>
        <v>150.4284684</v>
      </c>
      <c r="F9" s="10">
        <f>C17*(1+C9/100)^A9</f>
        <v>34526.35624</v>
      </c>
      <c r="G9" s="10">
        <f>G8 - G15*K23/(1+K23/100)/100^A9 + D9/(1+K23/100)^A9</f>
        <v>22116.2192</v>
      </c>
      <c r="H9" s="10">
        <f>G9/K25</f>
        <v>14.87496651</v>
      </c>
      <c r="I9" s="15" t="s">
        <v>17</v>
      </c>
      <c r="K9" s="16">
        <v>4.58</v>
      </c>
      <c r="P9" s="3"/>
      <c r="Q9" s="3"/>
      <c r="R9" s="3"/>
      <c r="S9" s="3"/>
    </row>
    <row r="10">
      <c r="A10" s="9">
        <v>8.0</v>
      </c>
      <c r="B10" s="9">
        <v>2031.0</v>
      </c>
      <c r="C10" s="9">
        <v>10.0</v>
      </c>
      <c r="D10" s="10">
        <f t="shared" si="1"/>
        <v>237.0586587</v>
      </c>
      <c r="E10" s="10">
        <f>D10/((1+K23/100)^A10)</f>
        <v>157.1874938</v>
      </c>
      <c r="F10" s="10">
        <f>C17*(1+C10/100)^A10</f>
        <v>37978.99187</v>
      </c>
      <c r="G10" s="10">
        <f>G9 - G15*K23/(1+K23/100)/100^A10 + D10/(1+K23/100)^A10</f>
        <v>22273.4067</v>
      </c>
      <c r="H10" s="10">
        <f>G10/K25</f>
        <v>14.98068795</v>
      </c>
      <c r="I10" s="15" t="s">
        <v>18</v>
      </c>
      <c r="K10" s="9">
        <v>8.13</v>
      </c>
      <c r="P10" s="3"/>
      <c r="Q10" s="3"/>
      <c r="R10" s="3"/>
      <c r="S10" s="3"/>
    </row>
    <row r="11">
      <c r="A11" s="9">
        <v>9.0</v>
      </c>
      <c r="B11" s="9">
        <v>2032.0</v>
      </c>
      <c r="C11" s="9">
        <v>10.0</v>
      </c>
      <c r="D11" s="10">
        <f t="shared" si="1"/>
        <v>260.7645246</v>
      </c>
      <c r="E11" s="10">
        <f>D11/((1+K23/100)^A11)</f>
        <v>164.2502146</v>
      </c>
      <c r="F11" s="10">
        <f>C17*(1+C11/100)^A11</f>
        <v>41776.89106</v>
      </c>
      <c r="G11" s="10">
        <f>G10 - G15*K23/(1+K23/100)/100^A11 + D11/(1+K23/100)^A11</f>
        <v>22437.65691</v>
      </c>
      <c r="H11" s="10">
        <f>G11/K25</f>
        <v>15.09115966</v>
      </c>
      <c r="I11" s="3" t="s">
        <v>19</v>
      </c>
      <c r="K11" s="10">
        <f>K9 + K5*(K10-K9)</f>
        <v>6.071</v>
      </c>
      <c r="P11" s="3"/>
      <c r="Q11" s="3"/>
      <c r="R11" s="3"/>
      <c r="S11" s="3"/>
    </row>
    <row r="12">
      <c r="A12" s="9">
        <v>10.0</v>
      </c>
      <c r="B12" s="9">
        <v>2033.0</v>
      </c>
      <c r="C12" s="9">
        <v>10.0</v>
      </c>
      <c r="D12" s="10">
        <f t="shared" si="1"/>
        <v>286.840977</v>
      </c>
      <c r="E12" s="10">
        <f>D12/((1+K23/100)^A12)</f>
        <v>171.6302764</v>
      </c>
      <c r="F12" s="10">
        <f>C17*(1+C12/100)^A12</f>
        <v>45954.58016</v>
      </c>
      <c r="G12" s="10">
        <f>G11 - G15*K23/(1+K23/100)/100^A12 + D12/(1+K23/100)^A12</f>
        <v>22609.28719</v>
      </c>
      <c r="H12" s="10">
        <f>G12/K25</f>
        <v>15.20659506</v>
      </c>
      <c r="I12" s="3" t="s">
        <v>20</v>
      </c>
      <c r="K12" s="16">
        <v>14.45</v>
      </c>
      <c r="P12" s="17"/>
      <c r="Q12" s="3"/>
      <c r="R12" s="3"/>
      <c r="S12" s="3"/>
    </row>
    <row r="13">
      <c r="A13" s="3"/>
      <c r="B13" s="3"/>
      <c r="C13" s="3"/>
      <c r="D13" s="3"/>
      <c r="E13" s="3"/>
      <c r="F13" s="3"/>
      <c r="G13" s="3"/>
      <c r="H13" s="3"/>
      <c r="I13" s="3" t="s">
        <v>21</v>
      </c>
      <c r="K13" s="9">
        <f>K9</f>
        <v>4.58</v>
      </c>
      <c r="P13" s="3"/>
      <c r="Q13" s="3"/>
      <c r="R13" s="3"/>
      <c r="S13" s="3"/>
    </row>
    <row r="14">
      <c r="A14" s="18" t="s">
        <v>22</v>
      </c>
      <c r="B14" s="19"/>
      <c r="C14" s="20">
        <v>88.55</v>
      </c>
      <c r="F14" s="18" t="s">
        <v>23</v>
      </c>
      <c r="G14" s="21">
        <f>K7*K11 + K8*K14</f>
        <v>5.270025741</v>
      </c>
      <c r="H14" s="3"/>
      <c r="I14" s="3" t="s">
        <v>24</v>
      </c>
      <c r="K14" s="10">
        <f>K13*(1-K12/100)</f>
        <v>3.91819</v>
      </c>
      <c r="P14" s="3"/>
      <c r="Q14" s="3"/>
      <c r="R14" s="3"/>
      <c r="S14" s="3"/>
    </row>
    <row r="15">
      <c r="A15" s="18" t="s">
        <v>25</v>
      </c>
      <c r="B15" s="19"/>
      <c r="C15" s="22">
        <v>4282.02</v>
      </c>
      <c r="F15" s="23" t="s">
        <v>26</v>
      </c>
      <c r="G15" s="21">
        <f>K18*(1+K19/100)/(K20/100 - K19/100)</f>
        <v>23488.86377</v>
      </c>
      <c r="P15" s="3"/>
      <c r="Q15" s="3"/>
      <c r="R15" s="3"/>
      <c r="S15" s="3"/>
    </row>
    <row r="16">
      <c r="A16" s="18" t="s">
        <v>27</v>
      </c>
      <c r="B16" s="19"/>
      <c r="C16" s="22">
        <v>3127.36</v>
      </c>
      <c r="I16" s="3"/>
      <c r="J16" s="3"/>
      <c r="K16" s="3"/>
      <c r="P16" s="3"/>
      <c r="Q16" s="3"/>
      <c r="R16" s="3"/>
      <c r="S16" s="3"/>
    </row>
    <row r="17">
      <c r="A17" s="18" t="s">
        <v>28</v>
      </c>
      <c r="B17" s="19"/>
      <c r="C17" s="22">
        <v>17717.48</v>
      </c>
      <c r="I17" s="24" t="s">
        <v>29</v>
      </c>
      <c r="L17" s="3"/>
      <c r="P17" s="3"/>
      <c r="Q17" s="3"/>
      <c r="R17" s="3"/>
      <c r="S17" s="3"/>
    </row>
    <row r="18">
      <c r="A18" s="18" t="s">
        <v>30</v>
      </c>
      <c r="B18" s="19"/>
      <c r="C18" s="25">
        <f>K26</f>
        <v>3.55</v>
      </c>
      <c r="I18" s="3" t="s">
        <v>31</v>
      </c>
      <c r="J18" s="3"/>
      <c r="K18" s="10">
        <f>D12</f>
        <v>286.840977</v>
      </c>
      <c r="P18" s="3"/>
      <c r="Q18" s="3"/>
      <c r="R18" s="3"/>
      <c r="S18" s="3"/>
    </row>
    <row r="19">
      <c r="I19" s="3" t="s">
        <v>32</v>
      </c>
      <c r="J19" s="3"/>
      <c r="K19" s="9">
        <f>K22</f>
        <v>4</v>
      </c>
      <c r="P19" s="3"/>
      <c r="Q19" s="3"/>
      <c r="R19" s="3"/>
      <c r="S19" s="3"/>
    </row>
    <row r="20">
      <c r="H20" s="3"/>
      <c r="I20" s="3" t="s">
        <v>33</v>
      </c>
      <c r="J20" s="3"/>
      <c r="K20" s="10">
        <f>G14</f>
        <v>5.270025741</v>
      </c>
      <c r="O20" s="3"/>
      <c r="P20" s="3"/>
      <c r="Q20" s="3"/>
      <c r="R20" s="3"/>
      <c r="S20" s="3"/>
    </row>
    <row r="21">
      <c r="A21" s="8"/>
      <c r="B21" s="8"/>
      <c r="C21" s="26"/>
      <c r="D21" s="3"/>
      <c r="E21" s="3"/>
      <c r="H21" s="3"/>
      <c r="O21" s="3"/>
      <c r="P21" s="3"/>
      <c r="Q21" s="3"/>
      <c r="R21" s="3"/>
      <c r="S21" s="3"/>
    </row>
    <row r="22">
      <c r="A22" s="8"/>
      <c r="B22" s="8"/>
      <c r="C22" s="26"/>
      <c r="D22" s="3"/>
      <c r="E22" s="3"/>
      <c r="H22" s="3"/>
      <c r="I22" s="18" t="s">
        <v>32</v>
      </c>
      <c r="J22" s="19"/>
      <c r="K22" s="25">
        <v>4.0</v>
      </c>
      <c r="O22" s="3"/>
      <c r="P22" s="3"/>
      <c r="Q22" s="3"/>
      <c r="R22" s="3"/>
      <c r="S22" s="3"/>
    </row>
    <row r="23">
      <c r="I23" s="18" t="s">
        <v>34</v>
      </c>
      <c r="J23" s="19"/>
      <c r="K23" s="21">
        <f>G14</f>
        <v>5.270025741</v>
      </c>
    </row>
    <row r="24">
      <c r="D24" s="3"/>
      <c r="E24" s="3"/>
    </row>
    <row r="25">
      <c r="I25" s="27" t="s">
        <v>35</v>
      </c>
      <c r="J25" s="28"/>
      <c r="K25" s="29">
        <v>1486.808</v>
      </c>
    </row>
    <row r="26">
      <c r="I26" s="27" t="s">
        <v>36</v>
      </c>
      <c r="J26" s="28"/>
      <c r="K26" s="30">
        <v>3.55</v>
      </c>
    </row>
    <row r="29">
      <c r="E29" s="3"/>
      <c r="F29" s="3"/>
      <c r="G29" s="3"/>
    </row>
    <row r="30">
      <c r="G30" s="3"/>
    </row>
  </sheetData>
  <mergeCells count="15">
    <mergeCell ref="I8:J8"/>
    <mergeCell ref="I9:J9"/>
    <mergeCell ref="I10:J10"/>
    <mergeCell ref="I11:J11"/>
    <mergeCell ref="I12:J12"/>
    <mergeCell ref="I13:J13"/>
    <mergeCell ref="I14:J14"/>
    <mergeCell ref="I17:K17"/>
    <mergeCell ref="A1:H1"/>
    <mergeCell ref="I2:K2"/>
    <mergeCell ref="I3:J3"/>
    <mergeCell ref="I4:J4"/>
    <mergeCell ref="I5:J5"/>
    <mergeCell ref="I6:J6"/>
    <mergeCell ref="I7:J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8.5"/>
    <col customWidth="1" min="3" max="3" width="8.0"/>
  </cols>
  <sheetData>
    <row r="1">
      <c r="A1" s="31" t="s">
        <v>0</v>
      </c>
      <c r="I1" s="32"/>
      <c r="J1" s="32"/>
      <c r="K1" s="32"/>
      <c r="L1" s="17" t="s">
        <v>1</v>
      </c>
    </row>
    <row r="2">
      <c r="A2" s="4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6" t="s">
        <v>7</v>
      </c>
      <c r="G2" s="4" t="s">
        <v>8</v>
      </c>
      <c r="H2" s="6" t="s">
        <v>9</v>
      </c>
      <c r="I2" s="7" t="s">
        <v>10</v>
      </c>
      <c r="L2" s="33"/>
    </row>
    <row r="3">
      <c r="A3" s="9">
        <v>1.0</v>
      </c>
      <c r="B3" s="9">
        <v>2024.0</v>
      </c>
      <c r="C3" s="9">
        <v>15.0</v>
      </c>
      <c r="D3" s="10">
        <f>C14*(1+C3/100)</f>
        <v>-2176.329</v>
      </c>
      <c r="E3" s="10">
        <f>D3/((1+K21/100)^A3)</f>
        <v>-2067.431069</v>
      </c>
      <c r="F3" s="10">
        <f>C17*(1+C3/100)^A3</f>
        <v>157870.344</v>
      </c>
      <c r="G3" s="10">
        <f>D3/(1+K21/100)^A3 + G15/(1+K21/100)^A3</f>
        <v>-479967.9483</v>
      </c>
      <c r="H3" s="10">
        <f>G3/K23</f>
        <v>-99.39473846</v>
      </c>
      <c r="I3" s="3" t="s">
        <v>11</v>
      </c>
      <c r="K3" s="10">
        <f>K23*K24</f>
        <v>137865.2949</v>
      </c>
      <c r="L3" s="3"/>
    </row>
    <row r="4">
      <c r="A4" s="9">
        <v>2.0</v>
      </c>
      <c r="B4" s="9">
        <v>2025.0</v>
      </c>
      <c r="C4" s="9">
        <v>15.0</v>
      </c>
      <c r="D4" s="10">
        <f t="shared" ref="D4:D12" si="1">D3*(1+C4/100)</f>
        <v>-2502.77835</v>
      </c>
      <c r="E4" s="10">
        <f>D4/((1+K21/100)^A4)</f>
        <v>-2258.579428</v>
      </c>
      <c r="F4" s="10">
        <f>C17*(1+C4/100)^A4</f>
        <v>181550.8956</v>
      </c>
      <c r="G4" s="10">
        <f>G3 - G15*K21/(1+K21/100)/100^A4 + D4/(1+K21/100)^A4</f>
        <v>-481974.8029</v>
      </c>
      <c r="H4" s="10">
        <f>G4/K23</f>
        <v>-99.81033035</v>
      </c>
      <c r="I4" s="3" t="s">
        <v>12</v>
      </c>
      <c r="K4" s="11">
        <f>C16</f>
        <v>66543.91</v>
      </c>
      <c r="L4" s="3"/>
    </row>
    <row r="5">
      <c r="A5" s="9">
        <v>3.0</v>
      </c>
      <c r="B5" s="9">
        <v>2026.0</v>
      </c>
      <c r="C5" s="9">
        <v>15.0</v>
      </c>
      <c r="D5" s="10">
        <f t="shared" si="1"/>
        <v>-2878.195103</v>
      </c>
      <c r="E5" s="10">
        <f>D5/((1+K21/100)^A5)</f>
        <v>-2467.40078</v>
      </c>
      <c r="F5" s="10">
        <f>C17*(1+C5/100)^A5</f>
        <v>208783.5299</v>
      </c>
      <c r="G5" s="10">
        <f>G4 - G15*K21/100/(1+K21/100)^A5 + D5/(1+K21/100)^A5</f>
        <v>-461725.8265</v>
      </c>
      <c r="H5" s="10">
        <f>G5/K23</f>
        <v>-95.61704679</v>
      </c>
      <c r="I5" s="34" t="s">
        <v>13</v>
      </c>
      <c r="K5" s="35">
        <v>0.49</v>
      </c>
      <c r="L5" s="3"/>
    </row>
    <row r="6">
      <c r="A6" s="9">
        <v>4.0</v>
      </c>
      <c r="B6" s="9">
        <v>2027.0</v>
      </c>
      <c r="C6" s="9">
        <v>15.0</v>
      </c>
      <c r="D6" s="10">
        <f t="shared" si="1"/>
        <v>-3309.924368</v>
      </c>
      <c r="E6" s="10">
        <f>D6/((1+K21/100)^A6)</f>
        <v>-2695.529117</v>
      </c>
      <c r="F6" s="10">
        <f>C17*(1+C6/100)^A6</f>
        <v>240101.0594</v>
      </c>
      <c r="G6" s="10">
        <f>G5 - K21*G15/(1+K21/100)/100^A6 + D6/(1+K21/100)^A6</f>
        <v>-464421.3305</v>
      </c>
      <c r="H6" s="10">
        <f>G6/K23</f>
        <v>-96.17524845</v>
      </c>
      <c r="I6" s="3" t="s">
        <v>14</v>
      </c>
      <c r="K6" s="10">
        <f>SUM(K3:K4)</f>
        <v>204409.2049</v>
      </c>
      <c r="L6" s="3"/>
    </row>
    <row r="7">
      <c r="A7" s="9">
        <v>5.0</v>
      </c>
      <c r="B7" s="9">
        <v>2028.0</v>
      </c>
      <c r="C7" s="9">
        <v>15.0</v>
      </c>
      <c r="D7" s="10">
        <f t="shared" si="1"/>
        <v>-3806.413023</v>
      </c>
      <c r="E7" s="10">
        <f>D7/((1+K21/100)^A7)</f>
        <v>-2944.749502</v>
      </c>
      <c r="F7" s="10">
        <f>C17*(1+C7/100)^A7</f>
        <v>276116.2183</v>
      </c>
      <c r="G7" s="10">
        <f>G6 - G15*K21/(1+K21/100)/100^A7 + D7/(1+K21/100)^A7</f>
        <v>-467366.0797</v>
      </c>
      <c r="H7" s="10">
        <f>G7/K23</f>
        <v>-96.78506539</v>
      </c>
      <c r="I7" s="3" t="s">
        <v>15</v>
      </c>
      <c r="K7" s="14">
        <f>K3/K6</f>
        <v>0.6744573707</v>
      </c>
      <c r="L7" s="3"/>
    </row>
    <row r="8">
      <c r="A8" s="9">
        <v>6.0</v>
      </c>
      <c r="B8" s="9">
        <v>2029.0</v>
      </c>
      <c r="C8" s="9">
        <v>10.0</v>
      </c>
      <c r="D8" s="10">
        <f t="shared" si="1"/>
        <v>-4187.054325</v>
      </c>
      <c r="E8" s="10">
        <f>D8/((1+K21/100)^A8)</f>
        <v>-3077.141954</v>
      </c>
      <c r="F8" s="10">
        <f>C17*(1+C8/100)^A8</f>
        <v>243197.343</v>
      </c>
      <c r="G8" s="10">
        <f>G7 - G15*K21/(1+K21/100)/100^A8 + D8/(1+K21/100)^A8</f>
        <v>-470443.2217</v>
      </c>
      <c r="H8" s="10">
        <f>G8/K23</f>
        <v>-97.42229902</v>
      </c>
      <c r="I8" s="3" t="s">
        <v>16</v>
      </c>
      <c r="K8" s="10">
        <f>K4/K6</f>
        <v>0.3255426293</v>
      </c>
      <c r="L8" s="3"/>
    </row>
    <row r="9">
      <c r="A9" s="9">
        <v>7.0</v>
      </c>
      <c r="B9" s="9">
        <v>2030.0</v>
      </c>
      <c r="C9" s="9">
        <v>10.0</v>
      </c>
      <c r="D9" s="10">
        <f t="shared" si="1"/>
        <v>-4605.759758</v>
      </c>
      <c r="E9" s="10">
        <f>D9/((1+K21/100)^A9)</f>
        <v>-3215.486614</v>
      </c>
      <c r="F9" s="10">
        <f>C17*(1+C9/100)^A9</f>
        <v>267517.0773</v>
      </c>
      <c r="G9" s="10">
        <f>G8 - G15*K21/(1+K21/100)/100^A9 + D9/(1+K21/100)^A9</f>
        <v>-473658.7083</v>
      </c>
      <c r="H9" s="10">
        <f>G9/K23</f>
        <v>-98.08818192</v>
      </c>
      <c r="I9" s="34" t="s">
        <v>17</v>
      </c>
      <c r="K9" s="16">
        <v>4.58</v>
      </c>
      <c r="L9" s="8"/>
    </row>
    <row r="10">
      <c r="A10" s="9">
        <v>8.0</v>
      </c>
      <c r="B10" s="9">
        <v>2031.0</v>
      </c>
      <c r="C10" s="9">
        <v>10.0</v>
      </c>
      <c r="D10" s="10">
        <f t="shared" si="1"/>
        <v>-5066.335734</v>
      </c>
      <c r="E10" s="10">
        <f>D10/((1+K21/100)^A10)</f>
        <v>-3360.051086</v>
      </c>
      <c r="F10" s="10">
        <f>C17*(1+C10/100)^A10</f>
        <v>294268.7851</v>
      </c>
      <c r="G10" s="10">
        <f>G9 - G15*K21/(1+K21/100)/100^A10 + D10/(1+K21/100)^A10</f>
        <v>-477018.7594</v>
      </c>
      <c r="H10" s="10">
        <f>G10/K23</f>
        <v>-98.78400213</v>
      </c>
      <c r="I10" s="34" t="s">
        <v>18</v>
      </c>
      <c r="K10" s="9">
        <v>8.13</v>
      </c>
      <c r="L10" s="3"/>
    </row>
    <row r="11">
      <c r="A11" s="9">
        <v>9.0</v>
      </c>
      <c r="B11" s="9">
        <v>2032.0</v>
      </c>
      <c r="C11" s="9">
        <v>10.0</v>
      </c>
      <c r="D11" s="10">
        <f t="shared" si="1"/>
        <v>-5572.969307</v>
      </c>
      <c r="E11" s="10">
        <f>D11/((1+K21/100)^A11)</f>
        <v>-3511.115005</v>
      </c>
      <c r="F11" s="10">
        <f>C17*(1+C11/100)^A11</f>
        <v>323695.6636</v>
      </c>
      <c r="G11" s="10">
        <f>G10 - G15*K21/(1+K21/100)/100^A11 + D11/(1+K21/100)^A11</f>
        <v>-480529.8744</v>
      </c>
      <c r="H11" s="10">
        <f>G11/K23</f>
        <v>-99.5111056</v>
      </c>
      <c r="I11" s="3" t="s">
        <v>19</v>
      </c>
      <c r="K11" s="10">
        <f>K9 + K5*(K10-K9)</f>
        <v>6.3195</v>
      </c>
      <c r="L11" s="3"/>
    </row>
    <row r="12">
      <c r="A12" s="9">
        <v>10.0</v>
      </c>
      <c r="B12" s="9">
        <v>2033.0</v>
      </c>
      <c r="C12" s="9">
        <v>10.0</v>
      </c>
      <c r="D12" s="10">
        <f t="shared" si="1"/>
        <v>-6130.266238</v>
      </c>
      <c r="E12" s="10">
        <f>D12/((1+K21/100)^A12)</f>
        <v>-3668.97058</v>
      </c>
      <c r="F12" s="10">
        <f>C17*(1+C12/100)^A12</f>
        <v>356065.2299</v>
      </c>
      <c r="G12" s="10">
        <f>G11 - G15*K21/(1+K21/100)/100^A12 + D12/(1+K21/100)^A12</f>
        <v>-484198.845</v>
      </c>
      <c r="H12" s="10">
        <f>G12/K23</f>
        <v>-100.2708988</v>
      </c>
      <c r="I12" s="3" t="s">
        <v>20</v>
      </c>
      <c r="K12" s="9">
        <v>32.59</v>
      </c>
      <c r="L12" s="3"/>
    </row>
    <row r="13">
      <c r="A13" s="3"/>
      <c r="B13" s="3"/>
      <c r="C13" s="3"/>
      <c r="D13" s="3"/>
      <c r="E13" s="3"/>
      <c r="F13" s="3"/>
      <c r="G13" s="3"/>
      <c r="H13" s="3"/>
      <c r="I13" s="3" t="s">
        <v>21</v>
      </c>
      <c r="K13" s="9">
        <f>K9</f>
        <v>4.58</v>
      </c>
      <c r="L13" s="3"/>
    </row>
    <row r="14">
      <c r="A14" s="23" t="s">
        <v>22</v>
      </c>
      <c r="B14" s="23"/>
      <c r="C14" s="36">
        <v>-1892.46</v>
      </c>
      <c r="D14" s="3"/>
      <c r="E14" s="23" t="s">
        <v>23</v>
      </c>
      <c r="F14" s="19"/>
      <c r="G14" s="21">
        <f>K7*K11 + K8*K14</f>
        <v>5.267306506</v>
      </c>
      <c r="H14" s="3"/>
      <c r="I14" s="3" t="s">
        <v>24</v>
      </c>
      <c r="K14" s="10">
        <f>K13*(1-K12/100)</f>
        <v>3.087378</v>
      </c>
      <c r="L14" s="3"/>
    </row>
    <row r="15">
      <c r="A15" s="23" t="s">
        <v>25</v>
      </c>
      <c r="B15" s="23"/>
      <c r="C15" s="37">
        <v>31459.55</v>
      </c>
      <c r="D15" s="3"/>
      <c r="E15" s="23" t="s">
        <v>26</v>
      </c>
      <c r="F15" s="19"/>
      <c r="G15" s="21">
        <f>K17*(1+K18/100)/(K19/100 - K18/100)</f>
        <v>-503073.0023</v>
      </c>
      <c r="H15" s="3"/>
      <c r="L15" s="3"/>
    </row>
    <row r="16">
      <c r="A16" s="23" t="s">
        <v>27</v>
      </c>
      <c r="B16" s="23"/>
      <c r="C16" s="37">
        <v>66543.91</v>
      </c>
      <c r="D16" s="8"/>
      <c r="E16" s="3"/>
      <c r="F16" s="3"/>
      <c r="G16" s="3"/>
      <c r="H16" s="3"/>
      <c r="I16" s="24" t="s">
        <v>29</v>
      </c>
      <c r="L16" s="3"/>
    </row>
    <row r="17">
      <c r="A17" s="23" t="s">
        <v>28</v>
      </c>
      <c r="B17" s="23"/>
      <c r="C17" s="37">
        <v>137278.56</v>
      </c>
      <c r="D17" s="8"/>
      <c r="E17" s="3"/>
      <c r="F17" s="3"/>
      <c r="G17" s="3"/>
      <c r="H17" s="3"/>
      <c r="I17" s="3" t="s">
        <v>31</v>
      </c>
      <c r="J17" s="3"/>
      <c r="K17" s="10">
        <f>D12</f>
        <v>-6130.266238</v>
      </c>
      <c r="L17" s="3"/>
    </row>
    <row r="18">
      <c r="A18" s="23" t="s">
        <v>30</v>
      </c>
      <c r="B18" s="23"/>
      <c r="C18" s="38">
        <f>K24</f>
        <v>28.55</v>
      </c>
      <c r="D18" s="8"/>
      <c r="E18" s="3"/>
      <c r="F18" s="3"/>
      <c r="G18" s="3"/>
      <c r="H18" s="3"/>
      <c r="I18" s="3" t="s">
        <v>32</v>
      </c>
      <c r="J18" s="3"/>
      <c r="K18" s="9">
        <f>K20</f>
        <v>4</v>
      </c>
      <c r="L18" s="3"/>
    </row>
    <row r="19">
      <c r="A19" s="3"/>
      <c r="B19" s="3"/>
      <c r="C19" s="26"/>
      <c r="D19" s="8"/>
      <c r="E19" s="3"/>
      <c r="F19" s="3"/>
      <c r="G19" s="3"/>
      <c r="H19" s="3"/>
      <c r="I19" s="3" t="s">
        <v>33</v>
      </c>
      <c r="J19" s="3"/>
      <c r="K19" s="10">
        <f>G14</f>
        <v>5.267306506</v>
      </c>
      <c r="L19" s="3"/>
    </row>
    <row r="20">
      <c r="A20" s="8"/>
      <c r="B20" s="8"/>
      <c r="C20" s="26"/>
      <c r="D20" s="8"/>
      <c r="E20" s="3"/>
      <c r="F20" s="3"/>
      <c r="G20" s="3"/>
      <c r="H20" s="3"/>
      <c r="I20" s="23" t="s">
        <v>32</v>
      </c>
      <c r="K20" s="25">
        <v>4.0</v>
      </c>
      <c r="L20" s="3"/>
    </row>
    <row r="21">
      <c r="A21" s="8"/>
      <c r="B21" s="8"/>
      <c r="C21" s="26"/>
      <c r="D21" s="8"/>
      <c r="E21" s="3"/>
      <c r="F21" s="3"/>
      <c r="G21" s="3"/>
      <c r="H21" s="3"/>
      <c r="I21" s="23" t="s">
        <v>34</v>
      </c>
      <c r="K21" s="21">
        <f>G14</f>
        <v>5.267306506</v>
      </c>
      <c r="L21" s="3"/>
    </row>
    <row r="22">
      <c r="A22" s="8"/>
      <c r="B22" s="8"/>
      <c r="C22" s="26"/>
      <c r="D22" s="8"/>
      <c r="E22" s="3"/>
      <c r="F22" s="3"/>
      <c r="G22" s="3"/>
      <c r="H22" s="3"/>
      <c r="I22" s="3"/>
      <c r="J22" s="3"/>
      <c r="K22" s="3"/>
      <c r="L22" s="3"/>
    </row>
    <row r="23">
      <c r="A23" s="8"/>
      <c r="B23" s="8"/>
      <c r="C23" s="8"/>
      <c r="D23" s="8"/>
      <c r="E23" s="3"/>
      <c r="F23" s="3"/>
      <c r="G23" s="3"/>
      <c r="H23" s="3"/>
      <c r="I23" s="39" t="s">
        <v>35</v>
      </c>
      <c r="J23" s="39"/>
      <c r="K23" s="40">
        <v>4828.907</v>
      </c>
      <c r="L23" s="17"/>
    </row>
    <row r="24">
      <c r="A24" s="8"/>
      <c r="B24" s="8"/>
      <c r="C24" s="8"/>
      <c r="D24" s="8"/>
      <c r="E24" s="3"/>
      <c r="F24" s="3"/>
      <c r="G24" s="3"/>
      <c r="H24" s="3"/>
      <c r="I24" s="41" t="s">
        <v>36</v>
      </c>
      <c r="J24" s="39"/>
      <c r="K24" s="42">
        <v>28.55</v>
      </c>
      <c r="L24" s="3"/>
    </row>
    <row r="25">
      <c r="A25" s="8"/>
      <c r="B25" s="8"/>
      <c r="C25" s="8"/>
      <c r="D25" s="8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</sheetData>
  <mergeCells count="17">
    <mergeCell ref="A1:H1"/>
    <mergeCell ref="I2:K2"/>
    <mergeCell ref="I3:J3"/>
    <mergeCell ref="I4:J4"/>
    <mergeCell ref="I5:J5"/>
    <mergeCell ref="I6:J6"/>
    <mergeCell ref="I7:J7"/>
    <mergeCell ref="I16:K16"/>
    <mergeCell ref="I20:J20"/>
    <mergeCell ref="I21:J21"/>
    <mergeCell ref="I8:J8"/>
    <mergeCell ref="I9:J9"/>
    <mergeCell ref="I10:J10"/>
    <mergeCell ref="I11:J11"/>
    <mergeCell ref="I12:J12"/>
    <mergeCell ref="I13:J13"/>
    <mergeCell ref="I14:J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2" width="6.88"/>
    <col customWidth="1" min="3" max="3" width="7.63"/>
    <col customWidth="1" min="4" max="4" width="10.13"/>
    <col customWidth="1" min="5" max="5" width="13.13"/>
    <col customWidth="1" min="6" max="6" width="10.13"/>
    <col customWidth="1" min="8" max="8" width="12.63"/>
  </cols>
  <sheetData>
    <row r="1">
      <c r="A1" s="43" t="s">
        <v>0</v>
      </c>
      <c r="I1" s="32"/>
      <c r="J1" s="32"/>
      <c r="K1" s="32"/>
      <c r="L1" s="33" t="s">
        <v>1</v>
      </c>
    </row>
    <row r="2" ht="43.5" customHeight="1">
      <c r="A2" s="4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6" t="s">
        <v>7</v>
      </c>
      <c r="G2" s="4" t="s">
        <v>8</v>
      </c>
      <c r="H2" s="6" t="s">
        <v>9</v>
      </c>
      <c r="I2" s="7" t="s">
        <v>10</v>
      </c>
      <c r="L2" s="33"/>
    </row>
    <row r="3">
      <c r="A3" s="9">
        <v>1.0</v>
      </c>
      <c r="B3" s="9">
        <v>2024.0</v>
      </c>
      <c r="C3" s="9">
        <v>15.0</v>
      </c>
      <c r="D3" s="10">
        <f>C14*(1+C3/100)</f>
        <v>-2178.123</v>
      </c>
      <c r="E3" s="10">
        <f>D3/((1+K22/100)^A3)</f>
        <v>-2141.713864</v>
      </c>
      <c r="F3" s="10">
        <f>C17*(1+C3/100)^A3</f>
        <v>92078.867</v>
      </c>
      <c r="G3" s="10">
        <f>D3/(1+K22/100)^A3 + G15/(1+K22/100)^A3</f>
        <v>-1550010.009</v>
      </c>
      <c r="H3" s="10">
        <f>G3/K24</f>
        <v>-414.4186851</v>
      </c>
      <c r="I3" s="3" t="s">
        <v>11</v>
      </c>
      <c r="K3" s="10">
        <f>K24*K25</f>
        <v>22740.43424</v>
      </c>
    </row>
    <row r="4">
      <c r="A4" s="9">
        <v>2.0</v>
      </c>
      <c r="B4" s="9">
        <v>2025.0</v>
      </c>
      <c r="C4" s="9">
        <v>15.0</v>
      </c>
      <c r="D4" s="10">
        <f t="shared" ref="D4:D12" si="1">D3*(1+C4/100)</f>
        <v>-2504.84145</v>
      </c>
      <c r="E4" s="10">
        <f>D4/((1+K22/100)^A4)</f>
        <v>-2421.800338</v>
      </c>
      <c r="F4" s="10">
        <f>C17*(1+C4/100)^A4</f>
        <v>105890.6971</v>
      </c>
      <c r="G4" s="10">
        <f>G3 - G15*K22/(1+K22/100)/100^A4 + D4/(1+K22/100)^A4</f>
        <v>-1552168.672</v>
      </c>
      <c r="H4" s="10">
        <f>G4/K24</f>
        <v>-414.9958363</v>
      </c>
      <c r="I4" s="3" t="s">
        <v>12</v>
      </c>
      <c r="K4" s="11">
        <f>C16</f>
        <v>48193.54</v>
      </c>
    </row>
    <row r="5">
      <c r="A5" s="9">
        <v>3.0</v>
      </c>
      <c r="B5" s="9">
        <v>2026.0</v>
      </c>
      <c r="C5" s="9">
        <v>15.0</v>
      </c>
      <c r="D5" s="10">
        <f t="shared" si="1"/>
        <v>-2880.567668</v>
      </c>
      <c r="E5" s="10">
        <f>D5/((1+K22/100)^A5)</f>
        <v>-2738.515623</v>
      </c>
      <c r="F5" s="10">
        <f>C17*(1+C5/100)^A5</f>
        <v>121774.3016</v>
      </c>
      <c r="G5" s="10">
        <f>G4 - G15*K22/100/(1+K22/100)^A5 + D5/(1+K22/100)^A5</f>
        <v>-1529465.787</v>
      </c>
      <c r="H5" s="10">
        <f>G5/K24</f>
        <v>-408.9258757</v>
      </c>
      <c r="I5" s="34" t="s">
        <v>13</v>
      </c>
      <c r="K5" s="9">
        <v>0.93</v>
      </c>
    </row>
    <row r="6">
      <c r="A6" s="9">
        <v>4.0</v>
      </c>
      <c r="B6" s="9">
        <v>2027.0</v>
      </c>
      <c r="C6" s="9">
        <v>15.0</v>
      </c>
      <c r="D6" s="10">
        <f t="shared" si="1"/>
        <v>-3312.652818</v>
      </c>
      <c r="E6" s="10">
        <f>D6/((1+K22/100)^A6)</f>
        <v>-3096.649918</v>
      </c>
      <c r="F6" s="10">
        <f>C17*(1+C6/100)^A6</f>
        <v>140040.4468</v>
      </c>
      <c r="G6" s="10">
        <f>G5 - K22*G15/(1+K22/100)/100^A6 + D6/(1+K22/100)^A6</f>
        <v>-1532562.41</v>
      </c>
      <c r="H6" s="10">
        <f>G6/K24</f>
        <v>-409.7538049</v>
      </c>
      <c r="I6" s="3" t="s">
        <v>14</v>
      </c>
      <c r="K6" s="10">
        <f>SUM(K3:K4)</f>
        <v>70933.97424</v>
      </c>
    </row>
    <row r="7">
      <c r="A7" s="9">
        <v>5.0</v>
      </c>
      <c r="B7" s="9">
        <v>2028.0</v>
      </c>
      <c r="C7" s="9">
        <v>15.0</v>
      </c>
      <c r="D7" s="10">
        <f t="shared" si="1"/>
        <v>-3809.55074</v>
      </c>
      <c r="E7" s="10">
        <f>D7/((1+K22/100)^A7)</f>
        <v>-3501.619868</v>
      </c>
      <c r="F7" s="10">
        <f>C17*(1+C7/100)^A7</f>
        <v>161046.5139</v>
      </c>
      <c r="G7" s="10">
        <f>G6 - G15*K22/(1+K22/100)/100^A7 + D7/(1+K22/100)^A7</f>
        <v>-1536064.03</v>
      </c>
      <c r="H7" s="10">
        <f>G7/K24</f>
        <v>-410.6900161</v>
      </c>
      <c r="I7" s="3" t="s">
        <v>15</v>
      </c>
      <c r="K7" s="10">
        <f>K3/K6</f>
        <v>0.320585932</v>
      </c>
    </row>
    <row r="8">
      <c r="A8" s="9">
        <v>6.0</v>
      </c>
      <c r="B8" s="9">
        <v>2029.0</v>
      </c>
      <c r="C8" s="9">
        <v>10.0</v>
      </c>
      <c r="D8" s="10">
        <f t="shared" si="1"/>
        <v>-4190.505814</v>
      </c>
      <c r="E8" s="10">
        <f>D8/((1+K22/100)^A8)</f>
        <v>-3787.396121</v>
      </c>
      <c r="F8" s="10">
        <f>C17*(1+C8/100)^A8</f>
        <v>141846.3737</v>
      </c>
      <c r="G8" s="10">
        <f>G7 - G15*K22/(1+K22/100)/100^A8 + D8/(1+K22/100)^A8</f>
        <v>-1539851.426</v>
      </c>
      <c r="H8" s="10">
        <f>G8/K24</f>
        <v>-411.7026338</v>
      </c>
      <c r="I8" s="3" t="s">
        <v>16</v>
      </c>
      <c r="K8" s="10">
        <f>K4/K6</f>
        <v>0.679414068</v>
      </c>
    </row>
    <row r="9">
      <c r="A9" s="9">
        <v>7.0</v>
      </c>
      <c r="B9" s="9">
        <v>2030.0</v>
      </c>
      <c r="C9" s="9">
        <v>10.0</v>
      </c>
      <c r="D9" s="10">
        <f t="shared" si="1"/>
        <v>-4609.556396</v>
      </c>
      <c r="E9" s="10">
        <f>D9/((1+K22/100)^A9)</f>
        <v>-4096.495313</v>
      </c>
      <c r="F9" s="10">
        <f>C17*(1+C9/100)^A9</f>
        <v>156031.011</v>
      </c>
      <c r="G9" s="10">
        <f>G8 - G15*K22/(1+K22/100)/100^A9 + D9/(1+K22/100)^A9</f>
        <v>-1543947.922</v>
      </c>
      <c r="H9" s="10">
        <f>G9/K24</f>
        <v>-412.797894</v>
      </c>
      <c r="I9" s="34" t="s">
        <v>17</v>
      </c>
      <c r="K9" s="16">
        <v>4.58</v>
      </c>
    </row>
    <row r="10">
      <c r="A10" s="9">
        <v>8.0</v>
      </c>
      <c r="B10" s="9">
        <v>2031.0</v>
      </c>
      <c r="C10" s="9">
        <v>10.0</v>
      </c>
      <c r="D10" s="10">
        <f t="shared" si="1"/>
        <v>-5070.512035</v>
      </c>
      <c r="E10" s="10">
        <f>D10/((1+K22/100)^A10)</f>
        <v>-4430.820889</v>
      </c>
      <c r="F10" s="10">
        <f>C17*(1+C10/100)^A10</f>
        <v>171634.1121</v>
      </c>
      <c r="G10" s="10">
        <f>G9 - G15*K22/(1+K22/100)/100^A10 + D10/(1+K22/100)^A10</f>
        <v>-1548378.742</v>
      </c>
      <c r="H10" s="10">
        <f>G10/K24</f>
        <v>-413.9825412</v>
      </c>
      <c r="I10" s="34" t="s">
        <v>18</v>
      </c>
      <c r="K10" s="9">
        <v>7.0</v>
      </c>
    </row>
    <row r="11">
      <c r="A11" s="9">
        <v>9.0</v>
      </c>
      <c r="B11" s="9">
        <v>2032.0</v>
      </c>
      <c r="C11" s="9">
        <v>10.0</v>
      </c>
      <c r="D11" s="10">
        <f t="shared" si="1"/>
        <v>-5577.563239</v>
      </c>
      <c r="E11" s="10">
        <f>D11/((1+K22/100)^A11)</f>
        <v>-4792.43164</v>
      </c>
      <c r="F11" s="10">
        <f>C17*(1+C11/100)^A11</f>
        <v>188797.5233</v>
      </c>
      <c r="G11" s="10">
        <f>G10 - G15*K22/(1+K22/100)/100^A11 + D11/(1+K22/100)^A11</f>
        <v>-1553171.174</v>
      </c>
      <c r="H11" s="10">
        <f>G11/K24</f>
        <v>-415.2638705</v>
      </c>
      <c r="I11" s="3" t="s">
        <v>19</v>
      </c>
      <c r="K11" s="10">
        <f>K9 + K5*(K10-K9)</f>
        <v>6.8306</v>
      </c>
    </row>
    <row r="12">
      <c r="A12" s="9">
        <v>10.0</v>
      </c>
      <c r="B12" s="9">
        <v>2033.0</v>
      </c>
      <c r="C12" s="9">
        <v>10.0</v>
      </c>
      <c r="D12" s="10">
        <f t="shared" si="1"/>
        <v>-6135.319563</v>
      </c>
      <c r="E12" s="10">
        <f>D12/((1+K22/100)^A12)</f>
        <v>-5183.554379</v>
      </c>
      <c r="F12" s="10">
        <f>C17*(1+C12/100)^A12</f>
        <v>207677.2757</v>
      </c>
      <c r="G12" s="10">
        <f>G11 - G15*K22/(1+K22/100)/100^A12 + D12/(1+K22/100)^A12</f>
        <v>-1558354.728</v>
      </c>
      <c r="H12" s="10">
        <f>G12/K24</f>
        <v>-416.6497723</v>
      </c>
      <c r="I12" s="3" t="s">
        <v>20</v>
      </c>
      <c r="K12" s="10">
        <v>28.8</v>
      </c>
    </row>
    <row r="13">
      <c r="A13" s="3"/>
      <c r="B13" s="3"/>
      <c r="C13" s="3"/>
      <c r="D13" s="3"/>
      <c r="E13" s="3"/>
      <c r="F13" s="3"/>
      <c r="G13" s="3"/>
      <c r="H13" s="3"/>
      <c r="I13" s="3" t="s">
        <v>21</v>
      </c>
      <c r="K13" s="9">
        <f>K9</f>
        <v>4.58</v>
      </c>
    </row>
    <row r="14">
      <c r="A14" s="23" t="s">
        <v>22</v>
      </c>
      <c r="B14" s="23"/>
      <c r="C14" s="20">
        <v>-1894.02</v>
      </c>
      <c r="D14" s="3"/>
      <c r="E14" s="23" t="s">
        <v>23</v>
      </c>
      <c r="F14" s="19"/>
      <c r="G14" s="21">
        <f>K7*K11 + K8*K14</f>
        <v>4.405336366</v>
      </c>
      <c r="I14" s="3" t="s">
        <v>24</v>
      </c>
      <c r="K14" s="10">
        <f>K13*(1-K12/100)</f>
        <v>3.26096</v>
      </c>
    </row>
    <row r="15">
      <c r="A15" s="23" t="s">
        <v>25</v>
      </c>
      <c r="B15" s="23"/>
      <c r="C15" s="37">
        <v>709.89</v>
      </c>
      <c r="D15" s="3"/>
      <c r="E15" s="23" t="s">
        <v>26</v>
      </c>
      <c r="F15" s="19"/>
      <c r="G15" s="21">
        <f>K17*(1+K18/100)/(K19/100 - K18/100)</f>
        <v>-1574182.057</v>
      </c>
      <c r="I15" s="3"/>
      <c r="J15" s="3"/>
      <c r="K15" s="3"/>
    </row>
    <row r="16">
      <c r="A16" s="23" t="s">
        <v>27</v>
      </c>
      <c r="B16" s="23"/>
      <c r="C16" s="37">
        <v>48193.54</v>
      </c>
      <c r="D16" s="3"/>
      <c r="E16" s="3"/>
      <c r="F16" s="3"/>
      <c r="G16" s="3"/>
      <c r="H16" s="3"/>
      <c r="I16" s="24" t="s">
        <v>29</v>
      </c>
    </row>
    <row r="17">
      <c r="A17" s="23" t="s">
        <v>28</v>
      </c>
      <c r="B17" s="23"/>
      <c r="C17" s="37">
        <v>80068.58</v>
      </c>
      <c r="D17" s="3"/>
      <c r="E17" s="3"/>
      <c r="F17" s="3"/>
      <c r="G17" s="3"/>
      <c r="H17" s="3"/>
      <c r="I17" s="3" t="s">
        <v>31</v>
      </c>
      <c r="J17" s="3"/>
      <c r="K17" s="10">
        <f>D12</f>
        <v>-6135.319563</v>
      </c>
    </row>
    <row r="18">
      <c r="A18" s="23" t="s">
        <v>30</v>
      </c>
      <c r="B18" s="23"/>
      <c r="C18" s="25">
        <f>K25</f>
        <v>6.08</v>
      </c>
      <c r="D18" s="3"/>
      <c r="E18" s="3"/>
      <c r="F18" s="3"/>
      <c r="G18" s="3"/>
      <c r="H18" s="3"/>
      <c r="I18" s="3" t="s">
        <v>32</v>
      </c>
      <c r="J18" s="3"/>
      <c r="K18" s="9">
        <f>K21</f>
        <v>4</v>
      </c>
    </row>
    <row r="19">
      <c r="A19" s="3"/>
      <c r="B19" s="3"/>
      <c r="C19" s="3"/>
      <c r="D19" s="3"/>
      <c r="E19" s="3"/>
      <c r="F19" s="3"/>
      <c r="G19" s="3"/>
      <c r="H19" s="3"/>
      <c r="I19" s="3" t="s">
        <v>33</v>
      </c>
      <c r="J19" s="3"/>
      <c r="K19" s="10">
        <f>G14</f>
        <v>4.405336366</v>
      </c>
    </row>
    <row r="20">
      <c r="A20" s="24" t="s">
        <v>37</v>
      </c>
      <c r="E20" s="3"/>
      <c r="F20" s="3"/>
      <c r="G20" s="3"/>
      <c r="H20" s="3"/>
      <c r="I20" s="3"/>
      <c r="J20" s="3"/>
      <c r="K20" s="3"/>
    </row>
    <row r="21">
      <c r="A21" s="39"/>
      <c r="B21" s="24" t="s">
        <v>3</v>
      </c>
      <c r="C21" s="44" t="s">
        <v>38</v>
      </c>
      <c r="D21" s="24" t="s">
        <v>39</v>
      </c>
      <c r="E21" s="3"/>
      <c r="F21" s="3"/>
      <c r="G21" s="3"/>
      <c r="H21" s="3"/>
      <c r="I21" s="23" t="s">
        <v>32</v>
      </c>
      <c r="J21" s="19"/>
      <c r="K21" s="25">
        <v>4.0</v>
      </c>
    </row>
    <row r="22">
      <c r="A22" s="45" t="s">
        <v>40</v>
      </c>
      <c r="B22" s="46">
        <v>2023.0</v>
      </c>
      <c r="C22" s="47">
        <v>6101.33</v>
      </c>
      <c r="D22" s="48">
        <f>(C22+C23+C24)/3</f>
        <v>6411.28</v>
      </c>
      <c r="E22" s="3"/>
      <c r="F22" s="3"/>
      <c r="G22" s="3"/>
      <c r="H22" s="3"/>
      <c r="I22" s="23" t="s">
        <v>34</v>
      </c>
      <c r="J22" s="19"/>
      <c r="K22" s="25">
        <v>1.7</v>
      </c>
    </row>
    <row r="23">
      <c r="B23" s="46">
        <v>2022.0</v>
      </c>
      <c r="C23" s="47">
        <v>7753.2</v>
      </c>
      <c r="E23" s="3"/>
      <c r="F23" s="3"/>
      <c r="G23" s="3"/>
      <c r="H23" s="3"/>
      <c r="I23" s="3"/>
      <c r="J23" s="3"/>
      <c r="K23" s="3"/>
    </row>
    <row r="24">
      <c r="B24" s="46">
        <v>2021.0</v>
      </c>
      <c r="C24" s="47">
        <v>5379.31</v>
      </c>
      <c r="E24" s="3"/>
      <c r="F24" s="3"/>
      <c r="G24" s="3"/>
      <c r="H24" s="3"/>
      <c r="I24" s="41" t="s">
        <v>35</v>
      </c>
      <c r="J24" s="39"/>
      <c r="K24" s="40">
        <v>3740.203</v>
      </c>
    </row>
    <row r="25">
      <c r="A25" s="45" t="s">
        <v>41</v>
      </c>
      <c r="B25" s="46">
        <v>2023.0</v>
      </c>
      <c r="C25" s="47">
        <v>10349.86</v>
      </c>
      <c r="D25" s="48">
        <f>(C25+C26+C27)/3</f>
        <v>8212.16</v>
      </c>
      <c r="E25" s="3"/>
      <c r="F25" s="3"/>
      <c r="G25" s="3"/>
      <c r="H25" s="3"/>
      <c r="I25" s="41" t="s">
        <v>36</v>
      </c>
      <c r="J25" s="39"/>
      <c r="K25" s="42">
        <v>6.08</v>
      </c>
    </row>
    <row r="26">
      <c r="B26" s="46">
        <v>2022.0</v>
      </c>
      <c r="C26" s="47">
        <v>7175.06</v>
      </c>
      <c r="E26" s="3"/>
      <c r="F26" s="3"/>
      <c r="G26" s="3"/>
      <c r="H26" s="3"/>
      <c r="I26" s="8"/>
      <c r="J26" s="8"/>
      <c r="K26" s="26"/>
    </row>
    <row r="27">
      <c r="B27" s="46">
        <v>2021.0</v>
      </c>
      <c r="C27" s="47">
        <v>7111.56</v>
      </c>
      <c r="E27" s="3"/>
      <c r="F27" s="3"/>
      <c r="G27" s="3"/>
      <c r="H27" s="3"/>
      <c r="J27" s="8"/>
      <c r="K27" s="26"/>
    </row>
    <row r="28">
      <c r="A28" s="45" t="s">
        <v>42</v>
      </c>
      <c r="B28" s="46">
        <v>2023.0</v>
      </c>
      <c r="C28" s="46">
        <v>403.3</v>
      </c>
      <c r="D28" s="48">
        <f>(C28+C29+C30)/3</f>
        <v>253.4433333</v>
      </c>
      <c r="E28" s="3"/>
      <c r="F28" s="3"/>
      <c r="G28" s="3"/>
      <c r="H28" s="3"/>
      <c r="J28" s="8"/>
      <c r="K28" s="26"/>
    </row>
    <row r="29">
      <c r="B29" s="46">
        <v>2022.0</v>
      </c>
      <c r="C29" s="46">
        <v>249.39</v>
      </c>
      <c r="E29" s="3"/>
      <c r="F29" s="3"/>
      <c r="G29" s="3"/>
      <c r="H29" s="3"/>
      <c r="I29" s="8"/>
      <c r="J29" s="8"/>
      <c r="K29" s="26"/>
    </row>
    <row r="30">
      <c r="B30" s="46">
        <v>2021.0</v>
      </c>
      <c r="C30" s="46">
        <v>107.64</v>
      </c>
      <c r="E30" s="3"/>
      <c r="F30" s="3"/>
      <c r="G30" s="3"/>
      <c r="H30" s="3"/>
      <c r="J30" s="8"/>
      <c r="K30" s="26"/>
    </row>
    <row r="31">
      <c r="A31" s="3"/>
      <c r="B31" s="3"/>
      <c r="C31" s="3"/>
      <c r="D31" s="3"/>
      <c r="E31" s="3"/>
      <c r="F31" s="3"/>
      <c r="G31" s="3"/>
      <c r="H31" s="3"/>
      <c r="J31" s="8"/>
      <c r="K31" s="26"/>
    </row>
  </sheetData>
  <mergeCells count="24">
    <mergeCell ref="A1:H1"/>
    <mergeCell ref="I2:K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D25:D27"/>
    <mergeCell ref="D28:D30"/>
    <mergeCell ref="I16:K16"/>
    <mergeCell ref="A20:D20"/>
    <mergeCell ref="A22:A24"/>
    <mergeCell ref="D22:D24"/>
    <mergeCell ref="A25:A27"/>
    <mergeCell ref="I26:I28"/>
    <mergeCell ref="A28:A30"/>
    <mergeCell ref="I29:I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0">
      <c r="M30" s="49"/>
    </row>
  </sheetData>
  <drawing r:id="rId1"/>
</worksheet>
</file>