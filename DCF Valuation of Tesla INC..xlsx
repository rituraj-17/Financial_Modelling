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<sst xmlns="http://schemas.openxmlformats.org/spreadsheetml/2006/main" count="45" uniqueCount="45">
  <si>
    <t>ALL THE MONEY IS IN MILLION DOLLARS UNIT EXCEPT PER SHARE DATA</t>
  </si>
  <si>
    <t xml:space="preserve">ALL THE KEY ASSUMPTIONS ARE MARKED IN ORANGE </t>
  </si>
  <si>
    <t>DCF VALUATION</t>
  </si>
  <si>
    <t>S. NO.</t>
  </si>
  <si>
    <t>YEAR</t>
  </si>
  <si>
    <t>Growth Rate</t>
  </si>
  <si>
    <t xml:space="preserve">future cashflow </t>
  </si>
  <si>
    <t>Net present value of cashflow</t>
  </si>
  <si>
    <t>Revenue projections</t>
  </si>
  <si>
    <t>FAIR VALUE</t>
  </si>
  <si>
    <t>Fair value per share</t>
  </si>
  <si>
    <t>FCF=</t>
  </si>
  <si>
    <t>Terminal growth rate=</t>
  </si>
  <si>
    <t>Calculation of WACC</t>
  </si>
  <si>
    <t>Discount rate=</t>
  </si>
  <si>
    <t>Market value of Equity</t>
  </si>
  <si>
    <t>Cash equivalent=</t>
  </si>
  <si>
    <t>Market value of Debt</t>
  </si>
  <si>
    <t>Current debt=</t>
  </si>
  <si>
    <t>Beta</t>
  </si>
  <si>
    <t>Current revenue=</t>
  </si>
  <si>
    <t>Total Cost</t>
  </si>
  <si>
    <t>Proportion of equity</t>
  </si>
  <si>
    <t>Proportion of debt</t>
  </si>
  <si>
    <t xml:space="preserve">Risk free rate </t>
  </si>
  <si>
    <t>market price</t>
  </si>
  <si>
    <t>Expected market return</t>
  </si>
  <si>
    <t>Cost of equity</t>
  </si>
  <si>
    <t>Outstanding shares (in millions)</t>
  </si>
  <si>
    <t>TAX RATE%</t>
  </si>
  <si>
    <t>CALCULATION OF FCF</t>
  </si>
  <si>
    <t>CALCULATION OF TERMINAL VALUE</t>
  </si>
  <si>
    <t>Price per share</t>
  </si>
  <si>
    <t>Cost of debt</t>
  </si>
  <si>
    <t>AVERAGE</t>
  </si>
  <si>
    <t>2023 FCF</t>
  </si>
  <si>
    <t>CFO</t>
  </si>
  <si>
    <t>Terminal growth rate</t>
  </si>
  <si>
    <t>Cost of debt after tax</t>
  </si>
  <si>
    <t>WACC</t>
  </si>
  <si>
    <t>TERMINAL VALUE</t>
  </si>
  <si>
    <t xml:space="preserve">WACC = </t>
  </si>
  <si>
    <t>(taking 25 for simplification)</t>
  </si>
  <si>
    <t>CAPEX</t>
  </si>
  <si>
    <t>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</si>
</sst>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25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sz val="26.0"/>
      <color theme="1"/>
      <name val="Arial"/>
      <scheme val="minor"/>
    </font>
    <font>
      <sz val="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2" fontId="2" numFmtId="0" xfId="0" applyFont="1"/>
    <xf borderId="0" fillId="2" fontId="3" numFmtId="0" xfId="0" applyFont="1"/>
    <xf borderId="0" fillId="4" fontId="4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0" fillId="3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Font="1"/>
    <xf borderId="0" fillId="4" fontId="3" numFmtId="0" xfId="0" applyAlignment="1" applyFont="1">
      <alignment readingOrder="0"/>
    </xf>
    <xf borderId="0" fillId="4" fontId="3" numFmtId="0" xfId="0" applyAlignment="1" applyFont="1">
      <alignment horizontal="center" readingOrder="0"/>
    </xf>
    <xf borderId="0" fillId="0" fontId="3" numFmtId="3" xfId="0" applyAlignment="1" applyFont="1" applyNumberFormat="1">
      <alignment readingOrder="0"/>
    </xf>
    <xf borderId="0" fillId="0" fontId="3" numFmtId="3" xfId="0" applyFont="1" applyNumberFormat="1"/>
    <xf borderId="0" fillId="4" fontId="3" numFmtId="0" xfId="0" applyFont="1"/>
    <xf borderId="0" fillId="4" fontId="3" numFmtId="3" xfId="0" applyAlignment="1" applyFont="1" applyNumberFormat="1">
      <alignment readingOrder="0"/>
    </xf>
    <xf borderId="0" fillId="5" fontId="3" numFmtId="0" xfId="0" applyAlignment="1" applyFill="1" applyFont="1">
      <alignment horizontal="center" readingOrder="0" vertical="center"/>
    </xf>
    <xf borderId="0" fillId="5" fontId="3" numFmtId="0" xfId="0" applyAlignment="1" applyFont="1">
      <alignment readingOrder="0"/>
    </xf>
    <xf borderId="0" fillId="5" fontId="3" numFmtId="3" xfId="0" applyAlignment="1" applyFont="1" applyNumberFormat="1">
      <alignment readingOrder="0"/>
    </xf>
    <xf borderId="0" fillId="4" fontId="3" numFmtId="0" xfId="0" applyAlignment="1" applyFont="1">
      <alignment horizontal="center" vertical="center"/>
    </xf>
    <xf borderId="0" fillId="6" fontId="3" numFmtId="0" xfId="0" applyAlignment="1" applyFill="1" applyFont="1">
      <alignment readingOrder="0"/>
    </xf>
    <xf borderId="0" fillId="6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0"/>
    <col customWidth="1" min="6" max="6" width="16.75"/>
    <col customWidth="1" min="8" max="8" width="16.75"/>
    <col customWidth="1" min="10" max="10" width="25.5"/>
    <col customWidth="1" min="13" max="13" width="18.0"/>
    <col customWidth="1" min="15" max="15" width="17.0"/>
    <col customWidth="1" min="17" max="17" width="24.75"/>
  </cols>
  <sheetData>
    <row r="1" ht="48.0" customHeight="1">
      <c r="A1" s="1" t="s">
        <v>0</v>
      </c>
    </row>
    <row r="2" ht="27.75" customHeight="1">
      <c r="A2" s="2" t="s">
        <v>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  <c r="Y2" s="4"/>
      <c r="Z2" s="4"/>
      <c r="AA2" s="4"/>
    </row>
    <row r="3" ht="48.0" customHeight="1">
      <c r="A3" s="5" t="s">
        <v>2</v>
      </c>
    </row>
    <row r="4">
      <c r="A4" s="6" t="s">
        <v>3</v>
      </c>
      <c r="B4" s="6" t="s">
        <v>4</v>
      </c>
      <c r="C4" s="7" t="s">
        <v>5</v>
      </c>
      <c r="D4" s="6" t="s">
        <v>6</v>
      </c>
      <c r="E4" s="8" t="s">
        <v>7</v>
      </c>
      <c r="F4" s="6" t="s">
        <v>8</v>
      </c>
      <c r="G4" s="6" t="s">
        <v>9</v>
      </c>
      <c r="H4" s="6" t="s">
        <v>10</v>
      </c>
    </row>
    <row r="5">
      <c r="A5" s="6">
        <v>1.0</v>
      </c>
      <c r="B5" s="6">
        <v>2024.0</v>
      </c>
      <c r="C5" s="6">
        <v>15.0</v>
      </c>
      <c r="D5" s="9">
        <f>K5*(1+C5/100)</f>
        <v>6889.228333</v>
      </c>
      <c r="E5" s="9">
        <f>D5/((1+K7/100)^A5)</f>
        <v>5511.382667</v>
      </c>
      <c r="F5" s="9">
        <f>K10*(1+C5/100)^A5</f>
        <v>111288.95</v>
      </c>
      <c r="G5" s="9">
        <f>D5/(1+K7/100)^A5 + H21/(1+K7/100)^A5</f>
        <v>83226.8448</v>
      </c>
      <c r="H5" s="9">
        <f>G5/K16</f>
        <v>26.13087749</v>
      </c>
      <c r="J5" s="10" t="s">
        <v>11</v>
      </c>
      <c r="K5" s="9">
        <f>D19 + D25*(1-O16/100) - D22</f>
        <v>5990.633333</v>
      </c>
    </row>
    <row r="6">
      <c r="A6" s="6">
        <v>2.0</v>
      </c>
      <c r="B6" s="6">
        <v>2025.0</v>
      </c>
      <c r="C6" s="6">
        <v>15.0</v>
      </c>
      <c r="D6" s="9">
        <f t="shared" ref="D6:D14" si="1">D5*(1+C6/100)</f>
        <v>7922.612583</v>
      </c>
      <c r="E6" s="9">
        <f>D6/((1+K7/100)^A6)</f>
        <v>5070.472053</v>
      </c>
      <c r="F6" s="9">
        <f>K10*(1+C6/100)^A6</f>
        <v>127982.2925</v>
      </c>
      <c r="G6" s="9">
        <f>G5 - H21*K7/(1+K7/100)/100^A6 + D6/(1+K7/100)^A6</f>
        <v>88103.0282</v>
      </c>
      <c r="H6" s="9">
        <f>G6/K16</f>
        <v>27.66186129</v>
      </c>
      <c r="J6" s="10" t="s">
        <v>12</v>
      </c>
      <c r="K6" s="6">
        <v>4.0</v>
      </c>
      <c r="M6" s="11" t="s">
        <v>13</v>
      </c>
    </row>
    <row r="7">
      <c r="A7" s="6">
        <v>3.0</v>
      </c>
      <c r="B7" s="6">
        <v>2026.0</v>
      </c>
      <c r="C7" s="6">
        <v>15.0</v>
      </c>
      <c r="D7" s="9">
        <f t="shared" si="1"/>
        <v>9111.004471</v>
      </c>
      <c r="E7" s="9">
        <f>D7/((1+K7/100)^A7)</f>
        <v>4664.834289</v>
      </c>
      <c r="F7" s="9">
        <f>K10*(1+C7/100)^A7</f>
        <v>147179.6364</v>
      </c>
      <c r="G7" s="9">
        <f>G6 - H21*K7/100/(1+K7/100)^A7 + D7/(1+K7/100)^A7</f>
        <v>80333.38855</v>
      </c>
      <c r="H7" s="9">
        <f>G7/K16</f>
        <v>25.22241399</v>
      </c>
      <c r="J7" s="10" t="s">
        <v>14</v>
      </c>
      <c r="K7" s="6">
        <v>25.0</v>
      </c>
      <c r="M7" s="6" t="s">
        <v>15</v>
      </c>
      <c r="O7" s="9">
        <f>K16*K17</f>
        <v>1426657.05</v>
      </c>
    </row>
    <row r="8">
      <c r="A8" s="6">
        <v>4.0</v>
      </c>
      <c r="B8" s="6">
        <v>2027.0</v>
      </c>
      <c r="C8" s="6">
        <v>15.0</v>
      </c>
      <c r="D8" s="9">
        <f t="shared" si="1"/>
        <v>10477.65514</v>
      </c>
      <c r="E8" s="9">
        <f>D8/((1+K7/100)^A8)</f>
        <v>4291.647546</v>
      </c>
      <c r="F8" s="9">
        <f>K10*(1+C8/100)^A8</f>
        <v>169256.5818</v>
      </c>
      <c r="G8" s="9">
        <f>G7 - K7*H21/(1+K7/100)/100^A8 + D8/(1+K7/100)^A8</f>
        <v>84625.01667</v>
      </c>
      <c r="H8" s="9">
        <f>G8/K16</f>
        <v>26.56986395</v>
      </c>
      <c r="J8" s="10" t="s">
        <v>16</v>
      </c>
      <c r="K8" s="12">
        <v>16398.0</v>
      </c>
      <c r="M8" s="6" t="s">
        <v>17</v>
      </c>
      <c r="O8" s="13">
        <f>K9</f>
        <v>2857</v>
      </c>
    </row>
    <row r="9">
      <c r="A9" s="6">
        <v>5.0</v>
      </c>
      <c r="B9" s="6">
        <v>2028.0</v>
      </c>
      <c r="C9" s="6">
        <v>15.0</v>
      </c>
      <c r="D9" s="9">
        <f t="shared" si="1"/>
        <v>12049.30341</v>
      </c>
      <c r="E9" s="9">
        <f>D9/((1+K7/100)^A9)</f>
        <v>3948.315742</v>
      </c>
      <c r="F9" s="9">
        <f>K10*(1+C9/100)^A9</f>
        <v>194645.0691</v>
      </c>
      <c r="G9" s="9">
        <f>G8 - H21*K7/(1+K7/100)/100^A9 + D9/(1+K7/100)^A9</f>
        <v>88573.33221</v>
      </c>
      <c r="H9" s="9">
        <f>G9/K16</f>
        <v>27.80952346</v>
      </c>
      <c r="J9" s="10" t="s">
        <v>18</v>
      </c>
      <c r="K9" s="12">
        <v>2857.0</v>
      </c>
      <c r="M9" s="7" t="s">
        <v>19</v>
      </c>
      <c r="O9" s="6">
        <v>2.3</v>
      </c>
    </row>
    <row r="10">
      <c r="A10" s="6">
        <v>6.0</v>
      </c>
      <c r="B10" s="6">
        <v>2029.0</v>
      </c>
      <c r="C10" s="6">
        <v>10.0</v>
      </c>
      <c r="D10" s="9">
        <f t="shared" si="1"/>
        <v>13254.23375</v>
      </c>
      <c r="E10" s="9">
        <f>D10/((1+K7/100)^A10)</f>
        <v>3474.517853</v>
      </c>
      <c r="F10" s="9">
        <f>K10*(1+C10/100)^A10</f>
        <v>171439.2727</v>
      </c>
      <c r="G10" s="9">
        <f>G9 - H21*K7/(1+K7/100)/100^A10 + D10/(1+K7/100)^A10</f>
        <v>92047.85007</v>
      </c>
      <c r="H10" s="9">
        <f>G10/K16</f>
        <v>28.90042388</v>
      </c>
      <c r="J10" s="10" t="s">
        <v>20</v>
      </c>
      <c r="K10" s="12">
        <v>96773.0</v>
      </c>
      <c r="M10" s="6" t="s">
        <v>21</v>
      </c>
      <c r="O10" s="9">
        <f>SUM(O7:O8)</f>
        <v>1429514.05</v>
      </c>
    </row>
    <row r="11">
      <c r="A11" s="6">
        <v>7.0</v>
      </c>
      <c r="B11" s="6">
        <v>2030.0</v>
      </c>
      <c r="C11" s="6">
        <v>10.0</v>
      </c>
      <c r="D11" s="9">
        <f t="shared" si="1"/>
        <v>14579.65713</v>
      </c>
      <c r="E11" s="9">
        <f>D11/((1+K7/100)^A11)</f>
        <v>3057.575711</v>
      </c>
      <c r="F11" s="9">
        <f>K10*(1+C11/100)^A11</f>
        <v>188583.1999</v>
      </c>
      <c r="G11" s="9">
        <f>G10 - H21*K7/(1+K7/100)/100^A11 + D11/(1+K7/100)^A11</f>
        <v>95105.42578</v>
      </c>
      <c r="H11" s="9">
        <f>G11/K16</f>
        <v>29.86041626</v>
      </c>
      <c r="M11" s="6" t="s">
        <v>22</v>
      </c>
      <c r="O11" s="9">
        <f>O7/O10</f>
        <v>0.9980014187</v>
      </c>
    </row>
    <row r="12">
      <c r="A12" s="6">
        <v>8.0</v>
      </c>
      <c r="B12" s="6">
        <v>2031.0</v>
      </c>
      <c r="C12" s="6">
        <v>10.0</v>
      </c>
      <c r="D12" s="9">
        <f t="shared" si="1"/>
        <v>16037.62284</v>
      </c>
      <c r="E12" s="9">
        <f>D12/((1+K7/100)^A12)</f>
        <v>2690.666626</v>
      </c>
      <c r="F12" s="9">
        <f>K10*(1+C12/100)^A12</f>
        <v>207441.5199</v>
      </c>
      <c r="G12" s="9">
        <f>G11 - H21*K7/(1+K7/100)/100^A12 + D12/(1+K7/100)^A12</f>
        <v>97796.0924</v>
      </c>
      <c r="H12" s="9">
        <f>G12/K16</f>
        <v>30.70520955</v>
      </c>
      <c r="M12" s="6" t="s">
        <v>23</v>
      </c>
      <c r="O12" s="9">
        <f>O8/O10</f>
        <v>0.001998581266</v>
      </c>
    </row>
    <row r="13">
      <c r="A13" s="6">
        <v>9.0</v>
      </c>
      <c r="B13" s="6">
        <v>2032.0</v>
      </c>
      <c r="C13" s="6">
        <v>10.0</v>
      </c>
      <c r="D13" s="9">
        <f t="shared" si="1"/>
        <v>17641.38513</v>
      </c>
      <c r="E13" s="9">
        <f>D13/((1+K7/100)^A13)</f>
        <v>2367.78663</v>
      </c>
      <c r="F13" s="9">
        <f>K10*(1+C13/100)^A13</f>
        <v>228185.6719</v>
      </c>
      <c r="G13" s="9">
        <f>G12 - H21*K7/(1+K7/100)/100^A13 + D13/(1+K7/100)^A13</f>
        <v>100163.879</v>
      </c>
      <c r="H13" s="9">
        <f>G13/K16</f>
        <v>31.44862764</v>
      </c>
      <c r="M13" s="7" t="s">
        <v>24</v>
      </c>
      <c r="O13" s="6">
        <v>4.63</v>
      </c>
    </row>
    <row r="14">
      <c r="A14" s="6">
        <v>10.0</v>
      </c>
      <c r="B14" s="6">
        <v>2033.0</v>
      </c>
      <c r="C14" s="6">
        <v>10.0</v>
      </c>
      <c r="D14" s="9">
        <f t="shared" si="1"/>
        <v>19405.52364</v>
      </c>
      <c r="E14" s="9">
        <f>D14/((1+K7/100)^A14)</f>
        <v>2083.652235</v>
      </c>
      <c r="F14" s="9">
        <f>K10*(1+C14/100)^A14</f>
        <v>251004.2391</v>
      </c>
      <c r="G14" s="9">
        <f>G13 - H21*K7/(1+K7/100)/100^A14 + D14/(1+K7/100)^A14</f>
        <v>102247.5313</v>
      </c>
      <c r="H14" s="9">
        <f>G14/K16</f>
        <v>32.10283556</v>
      </c>
      <c r="J14" s="10" t="s">
        <v>25</v>
      </c>
      <c r="K14" s="14">
        <f>K17</f>
        <v>447.93</v>
      </c>
      <c r="M14" s="7" t="s">
        <v>26</v>
      </c>
      <c r="O14" s="6">
        <v>15.4</v>
      </c>
    </row>
    <row r="15">
      <c r="M15" s="6" t="s">
        <v>27</v>
      </c>
      <c r="O15" s="9">
        <f>O13/100 + O9*(O14-O13)</f>
        <v>24.8173</v>
      </c>
    </row>
    <row r="16">
      <c r="J16" s="10" t="s">
        <v>28</v>
      </c>
      <c r="K16" s="15">
        <v>3185.0</v>
      </c>
      <c r="M16" s="6" t="s">
        <v>29</v>
      </c>
      <c r="O16" s="6">
        <v>21.0</v>
      </c>
    </row>
    <row r="17">
      <c r="A17" s="11" t="s">
        <v>30</v>
      </c>
      <c r="F17" s="11" t="s">
        <v>31</v>
      </c>
      <c r="J17" s="10" t="s">
        <v>32</v>
      </c>
      <c r="K17" s="10">
        <v>447.93</v>
      </c>
      <c r="M17" s="6" t="s">
        <v>33</v>
      </c>
      <c r="O17" s="9">
        <f>O13</f>
        <v>4.63</v>
      </c>
    </row>
    <row r="18">
      <c r="A18" s="16"/>
      <c r="B18" s="17"/>
      <c r="C18" s="18"/>
      <c r="D18" s="10" t="s">
        <v>34</v>
      </c>
      <c r="F18" s="6" t="s">
        <v>35</v>
      </c>
      <c r="G18" s="6"/>
      <c r="H18" s="9">
        <f>D14</f>
        <v>19405.52364</v>
      </c>
      <c r="M18" s="6"/>
    </row>
    <row r="19">
      <c r="A19" s="16" t="s">
        <v>36</v>
      </c>
      <c r="B19" s="17">
        <v>2023.0</v>
      </c>
      <c r="C19" s="18">
        <v>13256.0</v>
      </c>
      <c r="D19" s="19">
        <f>(C19+C20+C21)/3</f>
        <v>13159</v>
      </c>
      <c r="F19" s="6" t="s">
        <v>37</v>
      </c>
      <c r="G19" s="6"/>
      <c r="H19" s="6">
        <f>K6</f>
        <v>4</v>
      </c>
      <c r="M19" s="6" t="s">
        <v>38</v>
      </c>
      <c r="O19" s="9">
        <f>O17*(1-O16/100)</f>
        <v>3.6577</v>
      </c>
    </row>
    <row r="20">
      <c r="B20" s="17">
        <v>2022.0</v>
      </c>
      <c r="C20" s="18">
        <v>14724.0</v>
      </c>
      <c r="F20" s="6" t="s">
        <v>39</v>
      </c>
      <c r="G20" s="6"/>
      <c r="H20" s="9">
        <f>N21</f>
        <v>24.77501082</v>
      </c>
    </row>
    <row r="21">
      <c r="B21" s="17">
        <v>2021.0</v>
      </c>
      <c r="C21" s="18">
        <v>11497.0</v>
      </c>
      <c r="F21" s="20" t="s">
        <v>40</v>
      </c>
      <c r="H21" s="21">
        <f>H18*(1+H19/100)/(H20/100 - H19/100)</f>
        <v>97144.32767</v>
      </c>
      <c r="M21" s="6" t="s">
        <v>41</v>
      </c>
      <c r="N21" s="9">
        <f>O11*O15 + O12*O19</f>
        <v>24.77501082</v>
      </c>
      <c r="O21" s="6" t="s">
        <v>42</v>
      </c>
    </row>
    <row r="22">
      <c r="A22" s="16" t="s">
        <v>43</v>
      </c>
      <c r="B22" s="17">
        <v>2023.0</v>
      </c>
      <c r="C22" s="18">
        <v>8900.0</v>
      </c>
      <c r="D22" s="19">
        <f>(C22+C23+C24)/3</f>
        <v>7513.333333</v>
      </c>
    </row>
    <row r="23">
      <c r="B23" s="17">
        <v>2022.0</v>
      </c>
      <c r="C23" s="18">
        <v>7160.0</v>
      </c>
    </row>
    <row r="24">
      <c r="B24" s="17">
        <v>2021.0</v>
      </c>
      <c r="C24" s="18">
        <v>6480.0</v>
      </c>
    </row>
    <row r="25">
      <c r="A25" s="16" t="s">
        <v>44</v>
      </c>
      <c r="B25" s="17">
        <v>2023.0</v>
      </c>
      <c r="C25" s="17">
        <v>191.0</v>
      </c>
      <c r="D25" s="19">
        <f>(C25+C26+C27)/3</f>
        <v>436.6666667</v>
      </c>
    </row>
    <row r="26">
      <c r="B26" s="17">
        <v>2022.0</v>
      </c>
      <c r="C26" s="17">
        <v>371.0</v>
      </c>
    </row>
    <row r="27">
      <c r="B27" s="17">
        <v>2021.0</v>
      </c>
      <c r="C27" s="17">
        <v>748.0</v>
      </c>
    </row>
  </sheetData>
  <mergeCells count="15">
    <mergeCell ref="D19:D21"/>
    <mergeCell ref="F21:G21"/>
    <mergeCell ref="A22:A24"/>
    <mergeCell ref="D22:D24"/>
    <mergeCell ref="F22:G22"/>
    <mergeCell ref="A25:A27"/>
    <mergeCell ref="D25:D27"/>
    <mergeCell ref="D28:D30"/>
    <mergeCell ref="A1:S1"/>
    <mergeCell ref="A2:G2"/>
    <mergeCell ref="A3:G3"/>
    <mergeCell ref="M6:O6"/>
    <mergeCell ref="A17:D17"/>
    <mergeCell ref="F17:H17"/>
    <mergeCell ref="A19:A21"/>
  </mergeCells>
  <drawing r:id="rId1"/>
</worksheet>
</file>