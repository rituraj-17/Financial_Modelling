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<sst xmlns="http://schemas.openxmlformats.org/spreadsheetml/2006/main" count="39" uniqueCount="38">
  <si>
    <t>DCF VALUATION</t>
  </si>
  <si>
    <t>S. NO.</t>
  </si>
  <si>
    <t>YEAR</t>
  </si>
  <si>
    <t>Growth Rate</t>
  </si>
  <si>
    <t xml:space="preserve">future cashflow </t>
  </si>
  <si>
    <t>Net present value of cashflow</t>
  </si>
  <si>
    <t>Revenue projections</t>
  </si>
  <si>
    <t>FAIR VALUE</t>
  </si>
  <si>
    <t>Fair value per share</t>
  </si>
  <si>
    <t>Calculation of WACC</t>
  </si>
  <si>
    <t>(all the data is in hundred millions except the per share data)</t>
  </si>
  <si>
    <t>Market value of Equity</t>
  </si>
  <si>
    <t>Market value of Debt</t>
  </si>
  <si>
    <t>Beta</t>
  </si>
  <si>
    <t>Total Cost</t>
  </si>
  <si>
    <t>Proportion of equity</t>
  </si>
  <si>
    <t>Proportion of debt</t>
  </si>
  <si>
    <t xml:space="preserve">Risk free rate </t>
  </si>
  <si>
    <t>Expected market return</t>
  </si>
  <si>
    <t>Cost of equity</t>
  </si>
  <si>
    <t>TAX RATE%</t>
  </si>
  <si>
    <t>Cost of debt</t>
  </si>
  <si>
    <t>FCF</t>
  </si>
  <si>
    <t xml:space="preserve">WACC </t>
  </si>
  <si>
    <t>Cash equivalent</t>
  </si>
  <si>
    <t>TERMINAL VALUE</t>
  </si>
  <si>
    <t>Cost of debt after tax</t>
  </si>
  <si>
    <t>Current debt(mrq)</t>
  </si>
  <si>
    <t>Current revenue</t>
  </si>
  <si>
    <t>Market Price</t>
  </si>
  <si>
    <t>CALCULATION OF TERMINAL VALUE</t>
  </si>
  <si>
    <t>2033 FCF</t>
  </si>
  <si>
    <t>Terminal growth rate</t>
  </si>
  <si>
    <t>WACC</t>
  </si>
  <si>
    <t>Discount rate</t>
  </si>
  <si>
    <t>Outstanding shares</t>
  </si>
  <si>
    <t>(in hundred millions)</t>
  </si>
  <si>
    <t>Price per 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</si>
</sst>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7.0"/>
      <color theme="1"/>
      <name val="Arial"/>
    </font>
    <font>
      <sz val="17.0"/>
      <color theme="1"/>
      <name val="Arial"/>
      <scheme val="minor"/>
    </font>
    <font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sz val="11.0"/>
      <color rgb="FF232A31"/>
      <name val="&quot;GT America&quot;"/>
    </font>
  </fonts>
  <fills count="7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6FA8DC"/>
        <bgColor rgb="FF6FA8DC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4" fontId="3" numFmtId="0" xfId="0" applyAlignment="1" applyFill="1" applyFont="1">
      <alignment horizontal="center" vertical="bottom"/>
    </xf>
    <xf borderId="0" fillId="0" fontId="5" numFmtId="0" xfId="0" applyAlignment="1" applyFont="1">
      <alignment readingOrder="0"/>
    </xf>
    <xf borderId="0" fillId="5" fontId="3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5" fontId="6" numFmtId="0" xfId="0" applyAlignment="1" applyFont="1">
      <alignment horizontal="right" readingOrder="0"/>
    </xf>
    <xf borderId="0" fillId="5" fontId="6" numFmtId="0" xfId="0" applyFont="1"/>
    <xf borderId="0" fillId="0" fontId="3" numFmtId="0" xfId="0" applyAlignment="1" applyFont="1">
      <alignment horizontal="right" readingOrder="0" vertical="bottom"/>
    </xf>
    <xf borderId="0" fillId="5" fontId="3" numFmtId="0" xfId="0" applyAlignment="1" applyFont="1">
      <alignment horizontal="right" readingOrder="0" vertical="bottom"/>
    </xf>
    <xf borderId="0" fillId="6" fontId="3" numFmtId="0" xfId="0" applyAlignment="1" applyFill="1" applyFont="1">
      <alignment readingOrder="0" vertical="bottom"/>
    </xf>
    <xf borderId="0" fillId="6" fontId="5" numFmtId="0" xfId="0" applyFont="1"/>
    <xf borderId="0" fillId="6" fontId="3" numFmtId="0" xfId="0" applyAlignment="1" applyFont="1">
      <alignment horizontal="right" readingOrder="0" vertical="bottom"/>
    </xf>
    <xf borderId="0" fillId="6" fontId="3" numFmtId="0" xfId="0" applyAlignment="1" applyFont="1">
      <alignment horizontal="right" vertical="bottom"/>
    </xf>
    <xf borderId="0" fillId="6" fontId="3" numFmtId="3" xfId="0" applyAlignment="1" applyFont="1" applyNumberFormat="1">
      <alignment horizontal="right" readingOrder="0" vertical="bottom"/>
    </xf>
    <xf borderId="0" fillId="6" fontId="3" numFmtId="0" xfId="0" applyAlignment="1" applyFont="1">
      <alignment vertical="bottom"/>
    </xf>
    <xf borderId="0" fillId="5" fontId="3" numFmtId="0" xfId="0" applyAlignment="1" applyFont="1">
      <alignment horizontal="center" vertical="bottom"/>
    </xf>
    <xf borderId="0" fillId="6" fontId="3" numFmtId="4" xfId="0" applyAlignment="1" applyFont="1" applyNumberFormat="1">
      <alignment horizontal="right" vertical="bottom"/>
    </xf>
    <xf borderId="0" fillId="5" fontId="3" numFmtId="3" xfId="0" applyAlignment="1" applyFont="1" applyNumberFormat="1">
      <alignment horizontal="right" vertical="bottom"/>
    </xf>
    <xf borderId="0" fillId="5" fontId="3" numFmtId="0" xfId="0" applyAlignment="1" applyFont="1">
      <alignment horizontal="right" vertical="bottom"/>
    </xf>
    <xf borderId="0" fillId="4" fontId="3" numFmtId="0" xfId="0" applyAlignment="1" applyFont="1">
      <alignment readingOrder="0" vertical="bottom"/>
    </xf>
    <xf borderId="0" fillId="4" fontId="5" numFmtId="0" xfId="0" applyFont="1"/>
    <xf borderId="0" fillId="4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88"/>
    <col customWidth="1" min="2" max="2" width="7.63"/>
    <col customWidth="1" min="3" max="3" width="10.38"/>
    <col customWidth="1" min="4" max="4" width="12.13"/>
    <col customWidth="1" min="6" max="6" width="16.0"/>
    <col customWidth="1" min="8" max="8" width="16.13"/>
    <col customWidth="1" min="10" max="10" width="6.63"/>
    <col customWidth="1" min="11" max="11" width="18.25"/>
    <col customWidth="1" min="12" max="12" width="28.13"/>
    <col customWidth="1" min="13" max="13" width="22.63"/>
  </cols>
  <sheetData>
    <row r="1" ht="21.0" customHeight="1">
      <c r="A1" s="1" t="s">
        <v>0</v>
      </c>
      <c r="I1" s="2"/>
      <c r="J1" s="2"/>
      <c r="K1" s="2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6" t="s">
        <v>3</v>
      </c>
      <c r="D2" s="5" t="s">
        <v>4</v>
      </c>
      <c r="E2" s="7" t="s">
        <v>5</v>
      </c>
      <c r="F2" s="5" t="s">
        <v>6</v>
      </c>
      <c r="G2" s="5" t="s">
        <v>7</v>
      </c>
      <c r="H2" s="5" t="s">
        <v>8</v>
      </c>
      <c r="I2" s="8" t="s">
        <v>9</v>
      </c>
      <c r="L2" s="9" t="s">
        <v>10</v>
      </c>
      <c r="N2" s="10"/>
      <c r="O2" s="10"/>
      <c r="P2" s="5"/>
    </row>
    <row r="3">
      <c r="A3" s="11">
        <v>1.0</v>
      </c>
      <c r="B3" s="11">
        <v>2024.0</v>
      </c>
      <c r="C3" s="11">
        <v>15.0</v>
      </c>
      <c r="D3" s="11">
        <f>C14*(1+C3/100)</f>
        <v>-2178.629</v>
      </c>
      <c r="E3" s="11">
        <f>D3/((1+K24/100)^A3)</f>
        <v>-2131.384072</v>
      </c>
      <c r="F3" s="11">
        <f>C17*(1+C3/100)^A3</f>
        <v>157870.344</v>
      </c>
      <c r="G3" s="11">
        <f>D3/(1+K24/100)^A3 + G15/(1+K24/100)^A3</f>
        <v>347982.0016</v>
      </c>
      <c r="H3" s="11">
        <f>G3/K26</f>
        <v>72.63243614</v>
      </c>
      <c r="I3" s="5" t="s">
        <v>11</v>
      </c>
      <c r="K3" s="11">
        <f>K26*K27</f>
        <v>143873.73</v>
      </c>
      <c r="N3" s="5"/>
      <c r="O3" s="5"/>
      <c r="P3" s="5"/>
    </row>
    <row r="4">
      <c r="A4" s="11">
        <v>2.0</v>
      </c>
      <c r="B4" s="11">
        <v>2025.0</v>
      </c>
      <c r="C4" s="11">
        <v>15.0</v>
      </c>
      <c r="D4" s="11">
        <f t="shared" ref="D4:D12" si="1">D3*(1+C4/100)</f>
        <v>-2505.42335</v>
      </c>
      <c r="E4" s="11">
        <f>D4/((1+K24/100)^A4)</f>
        <v>-2397.938233</v>
      </c>
      <c r="F4" s="11">
        <f>C17*(1+C4/100)^A4</f>
        <v>181550.8956</v>
      </c>
      <c r="G4" s="11">
        <f>G3 - G15*K24/(1+K24/100)/100^A4 + D4/(1+K24/100)^A4</f>
        <v>345506.4561</v>
      </c>
      <c r="H4" s="11">
        <f>G4/K26</f>
        <v>72.11572868</v>
      </c>
      <c r="I4" s="5" t="s">
        <v>12</v>
      </c>
      <c r="K4" s="12">
        <f>C16</f>
        <v>66543.91</v>
      </c>
      <c r="P4" s="5"/>
    </row>
    <row r="5">
      <c r="A5" s="11">
        <v>3.0</v>
      </c>
      <c r="B5" s="11">
        <v>2026.0</v>
      </c>
      <c r="C5" s="11">
        <v>15.0</v>
      </c>
      <c r="D5" s="11">
        <f t="shared" si="1"/>
        <v>-2881.236853</v>
      </c>
      <c r="E5" s="11">
        <f>D5/((1+K24/100)^A5)</f>
        <v>-2697.828065</v>
      </c>
      <c r="F5" s="11">
        <f>C17*(1+C5/100)^A5</f>
        <v>208783.5299</v>
      </c>
      <c r="G5" s="11">
        <f>G4 - G15*K24/100/(1+K24/100)^A5 + D5/(1+K24/100)^A5</f>
        <v>335380.8476</v>
      </c>
      <c r="H5" s="11">
        <f>G5/K26</f>
        <v>70.00226416</v>
      </c>
      <c r="I5" s="6" t="s">
        <v>13</v>
      </c>
      <c r="K5" s="13">
        <v>0.49</v>
      </c>
      <c r="P5" s="5"/>
    </row>
    <row r="6">
      <c r="A6" s="11">
        <v>4.0</v>
      </c>
      <c r="B6" s="11">
        <v>2027.0</v>
      </c>
      <c r="C6" s="11">
        <v>15.0</v>
      </c>
      <c r="D6" s="11">
        <f t="shared" si="1"/>
        <v>-3313.42238</v>
      </c>
      <c r="E6" s="11">
        <f>D6/((1+K24/100)^A6)</f>
        <v>-3035.222579</v>
      </c>
      <c r="F6" s="11">
        <f>C17*(1+C6/100)^A6</f>
        <v>240101.0594</v>
      </c>
      <c r="G6" s="11">
        <f>G5 - K24*G15/(1+K24/100)/100^A6 + D6/(1+K24/100)^A6</f>
        <v>332345.6173</v>
      </c>
      <c r="H6" s="11">
        <f>G6/K26</f>
        <v>69.36873664</v>
      </c>
      <c r="I6" s="5" t="s">
        <v>14</v>
      </c>
      <c r="K6" s="11">
        <f>SUM(K3:K4)</f>
        <v>210417.64</v>
      </c>
      <c r="P6" s="5"/>
    </row>
    <row r="7">
      <c r="A7" s="11">
        <v>5.0</v>
      </c>
      <c r="B7" s="11">
        <v>2028.0</v>
      </c>
      <c r="C7" s="11">
        <v>15.0</v>
      </c>
      <c r="D7" s="11">
        <f t="shared" si="1"/>
        <v>-3810.435737</v>
      </c>
      <c r="E7" s="11">
        <f>D7/((1+K24/100)^A7)</f>
        <v>-3414.812169</v>
      </c>
      <c r="F7" s="11">
        <f>C17*(1+C7/100)^A7</f>
        <v>276116.2183</v>
      </c>
      <c r="G7" s="11">
        <f>G6 - G15*K24/(1+K24/100)/100^A7 + D7/(1+K24/100)^A7</f>
        <v>328930.805</v>
      </c>
      <c r="H7" s="11">
        <f>G7/K26</f>
        <v>68.65598101</v>
      </c>
      <c r="I7" s="5" t="s">
        <v>15</v>
      </c>
      <c r="K7" s="14">
        <f>K3/K6</f>
        <v>0.6837531777</v>
      </c>
      <c r="P7" s="5"/>
    </row>
    <row r="8">
      <c r="A8" s="11">
        <v>6.0</v>
      </c>
      <c r="B8" s="11">
        <v>2029.0</v>
      </c>
      <c r="C8" s="11">
        <v>10.0</v>
      </c>
      <c r="D8" s="11">
        <f t="shared" si="1"/>
        <v>-4191.479311</v>
      </c>
      <c r="E8" s="11">
        <f>D8/((1+K24/100)^A8)</f>
        <v>-3674.835823</v>
      </c>
      <c r="F8" s="11">
        <f>C17*(1+C8/100)^A8</f>
        <v>243197.343</v>
      </c>
      <c r="G8" s="11">
        <f>G7 - G15*K24/(1+K24/100)/100^A8 + D8/(1+K24/100)^A8</f>
        <v>325255.9692</v>
      </c>
      <c r="H8" s="11">
        <f>G8/K26</f>
        <v>67.88895203</v>
      </c>
      <c r="I8" s="5" t="s">
        <v>16</v>
      </c>
      <c r="K8" s="11">
        <f>K4/K6</f>
        <v>0.3162468223</v>
      </c>
      <c r="L8" s="5"/>
      <c r="P8" s="5"/>
    </row>
    <row r="9">
      <c r="A9" s="11">
        <v>7.0</v>
      </c>
      <c r="B9" s="11">
        <v>2030.0</v>
      </c>
      <c r="C9" s="11">
        <v>10.0</v>
      </c>
      <c r="D9" s="11">
        <f t="shared" si="1"/>
        <v>-4610.627242</v>
      </c>
      <c r="E9" s="11">
        <f>D9/((1+K24/100)^A9)</f>
        <v>-3954.65919</v>
      </c>
      <c r="F9" s="11">
        <f>C17*(1+C9/100)^A9</f>
        <v>267517.0773</v>
      </c>
      <c r="G9" s="11">
        <f>G8 - G15*K24/(1+K24/100)/100^A9 + D9/(1+K24/100)^A9</f>
        <v>321301.31</v>
      </c>
      <c r="H9" s="11">
        <f>G9/K26</f>
        <v>67.06351701</v>
      </c>
      <c r="I9" s="6" t="s">
        <v>17</v>
      </c>
      <c r="K9" s="15">
        <v>4.41</v>
      </c>
      <c r="L9" s="10"/>
      <c r="M9" s="16"/>
      <c r="P9" s="5"/>
    </row>
    <row r="10">
      <c r="A10" s="11">
        <v>8.0</v>
      </c>
      <c r="B10" s="11">
        <v>2031.0</v>
      </c>
      <c r="C10" s="11">
        <v>10.0</v>
      </c>
      <c r="D10" s="11">
        <f t="shared" si="1"/>
        <v>-5071.689967</v>
      </c>
      <c r="E10" s="11">
        <f>D10/((1+K24/100)^A10)</f>
        <v>-4255.789935</v>
      </c>
      <c r="F10" s="11">
        <f>C17*(1+C10/100)^A10</f>
        <v>294268.7851</v>
      </c>
      <c r="G10" s="11">
        <f>G9 - G15*K24/(1+K24/100)/100^A10 + D10/(1+K24/100)^A10</f>
        <v>317045.5201</v>
      </c>
      <c r="H10" s="11">
        <f>G10/K26</f>
        <v>66.17522857</v>
      </c>
      <c r="I10" s="6" t="s">
        <v>18</v>
      </c>
      <c r="K10" s="15">
        <v>8.13</v>
      </c>
      <c r="L10" s="5"/>
      <c r="M10" s="5"/>
      <c r="P10" s="5"/>
    </row>
    <row r="11">
      <c r="A11" s="11">
        <v>9.0</v>
      </c>
      <c r="B11" s="11">
        <v>2032.0</v>
      </c>
      <c r="C11" s="11">
        <v>10.0</v>
      </c>
      <c r="D11" s="11">
        <f t="shared" si="1"/>
        <v>-5578.858963</v>
      </c>
      <c r="E11" s="11">
        <f>D11/((1+K24/100)^A11)</f>
        <v>-4579.850526</v>
      </c>
      <c r="F11" s="11">
        <f>C17*(1+C11/100)^A11</f>
        <v>323695.6636</v>
      </c>
      <c r="G11" s="11">
        <f>G10 - G15*K24/(1+K24/100)/100^A11 + D11/(1+K24/100)^A11</f>
        <v>312465.6695</v>
      </c>
      <c r="H11" s="11">
        <f>G11/K26</f>
        <v>65.21930067</v>
      </c>
      <c r="I11" s="5" t="s">
        <v>19</v>
      </c>
      <c r="K11" s="11">
        <f>K9/100 + K5*(K10-K9)</f>
        <v>1.8669</v>
      </c>
      <c r="P11" s="5"/>
    </row>
    <row r="12">
      <c r="A12" s="11">
        <v>10.0</v>
      </c>
      <c r="B12" s="11">
        <v>2033.0</v>
      </c>
      <c r="C12" s="11">
        <v>10.0</v>
      </c>
      <c r="D12" s="11">
        <f t="shared" si="1"/>
        <v>-6136.744859</v>
      </c>
      <c r="E12" s="11">
        <f>D12/((1+K24/100)^A12)</f>
        <v>-4928.586974</v>
      </c>
      <c r="F12" s="11">
        <f>C17*(1+C12/100)^A12</f>
        <v>356065.2299</v>
      </c>
      <c r="G12" s="11">
        <f>G11 - G15*K24/(1+K24/100)/100^A12 + D12/(1+K24/100)^A12</f>
        <v>307537.0826</v>
      </c>
      <c r="H12" s="11">
        <f>G12/K26</f>
        <v>64.19058288</v>
      </c>
      <c r="I12" s="5" t="s">
        <v>20</v>
      </c>
      <c r="K12" s="15">
        <v>32.59</v>
      </c>
      <c r="P12" s="5"/>
    </row>
    <row r="13">
      <c r="A13" s="5"/>
      <c r="B13" s="5"/>
      <c r="C13" s="5"/>
      <c r="D13" s="5"/>
      <c r="E13" s="5"/>
      <c r="F13" s="5"/>
      <c r="G13" s="5"/>
      <c r="H13" s="5"/>
      <c r="I13" s="5" t="s">
        <v>21</v>
      </c>
      <c r="K13" s="11">
        <f>K9</f>
        <v>4.41</v>
      </c>
      <c r="P13" s="5"/>
    </row>
    <row r="14">
      <c r="A14" s="17" t="s">
        <v>22</v>
      </c>
      <c r="B14" s="18"/>
      <c r="C14" s="19">
        <v>-1894.46</v>
      </c>
      <c r="F14" s="17" t="s">
        <v>23</v>
      </c>
      <c r="G14" s="20">
        <f>K7*K11 + K8*K15</f>
        <v>2.216631352</v>
      </c>
      <c r="H14" s="5"/>
      <c r="I14" s="5"/>
      <c r="K14" s="5"/>
      <c r="P14" s="5"/>
    </row>
    <row r="15">
      <c r="A15" s="17" t="s">
        <v>24</v>
      </c>
      <c r="B15" s="18"/>
      <c r="C15" s="21">
        <v>31459.55</v>
      </c>
      <c r="F15" s="22" t="s">
        <v>25</v>
      </c>
      <c r="G15" s="20">
        <f>K20*(1+K21/100)/(K22/100 - K21/100)</f>
        <v>357874.1087</v>
      </c>
      <c r="I15" s="5" t="s">
        <v>26</v>
      </c>
      <c r="K15" s="11">
        <f>K13*(1-K12/100)</f>
        <v>2.972781</v>
      </c>
      <c r="L15" s="5"/>
      <c r="P15" s="5"/>
    </row>
    <row r="16">
      <c r="A16" s="17" t="s">
        <v>27</v>
      </c>
      <c r="B16" s="18"/>
      <c r="C16" s="21">
        <v>66543.91</v>
      </c>
      <c r="D16" s="10"/>
      <c r="E16" s="5"/>
      <c r="I16" s="5"/>
      <c r="J16" s="5"/>
      <c r="K16" s="5"/>
      <c r="L16" s="5"/>
      <c r="P16" s="5"/>
    </row>
    <row r="17">
      <c r="A17" s="17" t="s">
        <v>28</v>
      </c>
      <c r="B17" s="18"/>
      <c r="C17" s="21">
        <v>137278.56</v>
      </c>
      <c r="D17" s="23"/>
      <c r="E17" s="5"/>
      <c r="K17" s="5"/>
      <c r="L17" s="5"/>
      <c r="P17" s="5"/>
    </row>
    <row r="18">
      <c r="A18" s="22" t="s">
        <v>29</v>
      </c>
      <c r="B18" s="22"/>
      <c r="C18" s="24">
        <f>K27</f>
        <v>30.03</v>
      </c>
      <c r="D18" s="23"/>
      <c r="E18" s="5"/>
      <c r="I18" s="5"/>
      <c r="J18" s="5"/>
      <c r="K18" s="5"/>
      <c r="L18" s="5"/>
      <c r="P18" s="5"/>
    </row>
    <row r="19">
      <c r="C19" s="25"/>
      <c r="D19" s="23"/>
      <c r="E19" s="5"/>
      <c r="I19" s="8" t="s">
        <v>30</v>
      </c>
      <c r="L19" s="5"/>
      <c r="P19" s="5"/>
    </row>
    <row r="20">
      <c r="A20" s="23"/>
      <c r="B20" s="26"/>
      <c r="C20" s="25"/>
      <c r="D20" s="23"/>
      <c r="E20" s="5"/>
      <c r="F20" s="5"/>
      <c r="G20" s="5"/>
      <c r="H20" s="5"/>
      <c r="I20" s="5" t="s">
        <v>31</v>
      </c>
      <c r="J20" s="5"/>
      <c r="K20" s="11">
        <f>D12</f>
        <v>-6136.744859</v>
      </c>
      <c r="L20" s="5"/>
      <c r="M20" s="5"/>
      <c r="N20" s="5"/>
      <c r="O20" s="5"/>
      <c r="P20" s="5"/>
    </row>
    <row r="21">
      <c r="A21" s="23"/>
      <c r="B21" s="26"/>
      <c r="C21" s="25"/>
      <c r="D21" s="23"/>
      <c r="E21" s="5"/>
      <c r="F21" s="5"/>
      <c r="G21" s="5"/>
      <c r="H21" s="5"/>
      <c r="I21" s="5" t="s">
        <v>32</v>
      </c>
      <c r="J21" s="5"/>
      <c r="K21" s="11">
        <f>K23</f>
        <v>4</v>
      </c>
      <c r="L21" s="5"/>
      <c r="M21" s="5"/>
      <c r="N21" s="5"/>
      <c r="O21" s="5"/>
      <c r="P21" s="5"/>
    </row>
    <row r="22">
      <c r="A22" s="23"/>
      <c r="B22" s="26"/>
      <c r="C22" s="25"/>
      <c r="D22" s="23"/>
      <c r="E22" s="5"/>
      <c r="F22" s="5"/>
      <c r="G22" s="5"/>
      <c r="H22" s="5"/>
      <c r="I22" s="5" t="s">
        <v>33</v>
      </c>
      <c r="J22" s="5"/>
      <c r="K22" s="11">
        <f>G14</f>
        <v>2.216631352</v>
      </c>
      <c r="L22" s="5"/>
      <c r="M22" s="5"/>
      <c r="N22" s="5"/>
      <c r="O22" s="5"/>
      <c r="P22" s="5"/>
    </row>
    <row r="23">
      <c r="A23" s="23"/>
      <c r="B23" s="26"/>
      <c r="C23" s="26"/>
      <c r="D23" s="23"/>
      <c r="E23" s="5"/>
      <c r="F23" s="5"/>
      <c r="G23" s="5"/>
      <c r="H23" s="5"/>
      <c r="I23" s="17" t="s">
        <v>32</v>
      </c>
      <c r="K23" s="20">
        <v>4.0</v>
      </c>
      <c r="L23" s="5"/>
      <c r="M23" s="5"/>
      <c r="N23" s="5"/>
      <c r="O23" s="5"/>
      <c r="P23" s="5"/>
    </row>
    <row r="24">
      <c r="A24" s="23"/>
      <c r="B24" s="26"/>
      <c r="C24" s="26"/>
      <c r="D24" s="23"/>
      <c r="E24" s="5"/>
      <c r="F24" s="5"/>
      <c r="G24" s="5"/>
      <c r="H24" s="5"/>
      <c r="I24" s="17" t="s">
        <v>34</v>
      </c>
      <c r="K24" s="20">
        <f>G14</f>
        <v>2.216631352</v>
      </c>
      <c r="L24" s="5"/>
      <c r="M24" s="5"/>
      <c r="N24" s="5"/>
      <c r="O24" s="5"/>
      <c r="P24" s="5"/>
    </row>
    <row r="25">
      <c r="A25" s="23"/>
      <c r="B25" s="26"/>
      <c r="C25" s="26"/>
      <c r="D25" s="2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>
      <c r="A26" s="5"/>
      <c r="B26" s="5"/>
      <c r="C26" s="5"/>
      <c r="D26" s="5"/>
      <c r="E26" s="5"/>
      <c r="F26" s="5"/>
      <c r="G26" s="5"/>
      <c r="H26" s="5"/>
      <c r="I26" s="27" t="s">
        <v>35</v>
      </c>
      <c r="J26" s="28"/>
      <c r="K26" s="29">
        <v>4791.0</v>
      </c>
      <c r="L26" s="30" t="s">
        <v>36</v>
      </c>
      <c r="M26" s="5"/>
      <c r="N26" s="5"/>
      <c r="O26" s="5"/>
      <c r="P26" s="5"/>
    </row>
    <row r="27">
      <c r="A27" s="5"/>
      <c r="B27" s="5"/>
      <c r="C27" s="5"/>
      <c r="D27" s="5"/>
      <c r="E27" s="5"/>
      <c r="F27" s="5"/>
      <c r="G27" s="5"/>
      <c r="H27" s="5"/>
      <c r="I27" s="31" t="s">
        <v>37</v>
      </c>
      <c r="J27" s="28"/>
      <c r="K27" s="32">
        <v>30.03</v>
      </c>
      <c r="L27" s="5"/>
      <c r="M27" s="5"/>
      <c r="N27" s="5"/>
      <c r="O27" s="5"/>
      <c r="P27" s="5"/>
    </row>
  </sheetData>
  <mergeCells count="18">
    <mergeCell ref="A1:H1"/>
    <mergeCell ref="I2:K2"/>
    <mergeCell ref="I3:J3"/>
    <mergeCell ref="I4:J4"/>
    <mergeCell ref="I5:J5"/>
    <mergeCell ref="I6:J6"/>
    <mergeCell ref="I7:J7"/>
    <mergeCell ref="I15:J15"/>
    <mergeCell ref="I19:K19"/>
    <mergeCell ref="I23:J23"/>
    <mergeCell ref="I24:J24"/>
    <mergeCell ref="I8:J8"/>
    <mergeCell ref="I9:J9"/>
    <mergeCell ref="I10:J10"/>
    <mergeCell ref="I11:J11"/>
    <mergeCell ref="I12:J12"/>
    <mergeCell ref="I13:J13"/>
    <mergeCell ref="I14:J14"/>
  </mergeCells>
  <drawing r:id="rId1"/>
</worksheet>
</file>