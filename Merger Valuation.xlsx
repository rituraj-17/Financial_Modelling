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ltiple Valuation" sheetId="1" r:id="rId4"/>
    <sheet state="visible" name="Data" sheetId="2" r:id="rId5"/>
    <sheet state="visible" name="Comparison" sheetId="3" r:id="rId6"/>
  </sheets>
  <definedNames>
    <definedName name="_xlchart.v1.11">'Multiple Valuation'!$Q$8</definedName>
    <definedName name="_xlchart.v1.10">'Multiple Valuation'!$Q$7</definedName>
    <definedName name="_xlchart.v1.16">'Multiple Valuation'!$Q$21</definedName>
    <definedName name="_xlchart.v1.8">'Multiple Valuation'!$Q$21</definedName>
    <definedName name="_xlchart.v1.19">'Multiple Valuation'!$Q$8</definedName>
    <definedName name="_xlchart.v1.1">'Multiple Valuation'!$Q$6</definedName>
    <definedName name="_xlchart.v1.17">'Multiple Valuation'!$Q$6</definedName>
    <definedName name="_xlchart.v1.15">'Multiple Valuation'!$Q$8</definedName>
    <definedName name="_xlchart.v1.13">'Multiple Valuation'!$Q$6</definedName>
    <definedName name="_xlchart.v1.6">'Multiple Valuation'!$Q$7</definedName>
    <definedName name="_xlchart.v1.5">'Multiple Valuation'!$Q$6</definedName>
    <definedName name="_xlchart.v1.3">'Multiple Valuation'!$Q$8</definedName>
    <definedName name="_xlchart.v1.14">'Multiple Valuation'!$Q$7</definedName>
    <definedName name="_xlchart.v1.7">'Multiple Valuation'!$Q$8</definedName>
    <definedName name="_xlchart.v1.18">'Multiple Valuation'!$Q$7</definedName>
    <definedName name="_xlchart.v1.0">'Multiple Valuation'!$Q$21</definedName>
    <definedName name="_xlchart.v1.9">'Multiple Valuation'!$Q$6</definedName>
    <definedName name="_xlchart.v1.12">'Multiple Valuation'!$Q$21</definedName>
    <definedName name="_xlchart.v1.2">'Multiple Valuation'!$Q$7</definedName>
    <definedName name="_xlchart.v1.4">'Multiple Valuation'!$Q$21</definedName>
  </definedNames>
  <calcPr/>
  <extLst>
    <ext uri="GoogleSheetsCustomDataVersion2">
      <go:sheetsCustomData xmlns:go="http://customooxmlschemas.google.com/" r:id="rId7" roundtripDataChecksum="iTXxrFJrINNqK1unYGRLbNN8uD0yt6qrHXMjprp7GRk="/>
    </ext>
  </extLst>
</workbook>
</file>

<file path=xl/sharedStrings.xml><?xml version="1.0" encoding="utf-8"?>
<sst xmlns="http://schemas.openxmlformats.org/spreadsheetml/2006/main" count="87" uniqueCount="52">
  <si>
    <t>Amount in thousands</t>
  </si>
  <si>
    <t>Currency in USD</t>
  </si>
  <si>
    <t>Comparable Company Valuation</t>
  </si>
  <si>
    <t>Company</t>
  </si>
  <si>
    <t>Market Data</t>
  </si>
  <si>
    <t>Financials</t>
  </si>
  <si>
    <t>Valuation</t>
  </si>
  <si>
    <t>Share Price</t>
  </si>
  <si>
    <t>Outstanding Shares</t>
  </si>
  <si>
    <t>Equity Value</t>
  </si>
  <si>
    <t>Net Debt</t>
  </si>
  <si>
    <t>Enterprise Value</t>
  </si>
  <si>
    <t>Revenue</t>
  </si>
  <si>
    <t>Earnings per Share</t>
  </si>
  <si>
    <t>Net Income</t>
  </si>
  <si>
    <t>EBIDTA</t>
  </si>
  <si>
    <t>EV/Revenue</t>
  </si>
  <si>
    <t>EV/EBIDTA</t>
  </si>
  <si>
    <t>Equity Value / Net Income</t>
  </si>
  <si>
    <t>P/E</t>
  </si>
  <si>
    <t>Honda</t>
  </si>
  <si>
    <t>Mitsubishi</t>
  </si>
  <si>
    <t>Nissan</t>
  </si>
  <si>
    <t>Toyota</t>
  </si>
  <si>
    <t>Volkswagen</t>
  </si>
  <si>
    <t>BYD</t>
  </si>
  <si>
    <t xml:space="preserve">General Motors </t>
  </si>
  <si>
    <t>Ford</t>
  </si>
  <si>
    <t>SAIC</t>
  </si>
  <si>
    <t>Tesla</t>
  </si>
  <si>
    <t>High</t>
  </si>
  <si>
    <t>75th Percentile</t>
  </si>
  <si>
    <t>50th Percentile</t>
  </si>
  <si>
    <t>25th Percentile</t>
  </si>
  <si>
    <t>Average</t>
  </si>
  <si>
    <t>Median</t>
  </si>
  <si>
    <t>Low</t>
  </si>
  <si>
    <t>Honda Comparable Valuation</t>
  </si>
  <si>
    <t>Implied Enterprise Value</t>
  </si>
  <si>
    <t>Implied Market Value</t>
  </si>
  <si>
    <t>Shares Outstanding</t>
  </si>
  <si>
    <t>Implied Value per Share</t>
  </si>
  <si>
    <t>Mitsubishi Comparable Valuation</t>
  </si>
  <si>
    <t>Undervalued</t>
  </si>
  <si>
    <t>Nissan Comparable Valuation</t>
  </si>
  <si>
    <t>All numbers in thousands</t>
  </si>
  <si>
    <t>S.No.</t>
  </si>
  <si>
    <t>Market Capitalization</t>
  </si>
  <si>
    <t>Total Debt</t>
  </si>
  <si>
    <t>Cash &amp; Cash Equivalents</t>
  </si>
  <si>
    <t>Total Revenue</t>
  </si>
  <si>
    <t>EBITDA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</si>
</sst>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\x"/>
    <numFmt numFmtId="165" formatCode="#,##0.0"/>
  </numFmts>
  <fonts count="12">
    <font>
      <sz val="12.0"/>
      <color theme="1"/>
      <name val="Calibri"/>
      <scheme val="minor"/>
    </font>
    <font>
      <sz val="12.0"/>
      <color theme="1"/>
      <name val="Calibri"/>
    </font>
    <font>
      <i/>
      <sz val="11.0"/>
      <color theme="1"/>
      <name val="Calibri"/>
    </font>
    <font>
      <b/>
      <sz val="14.0"/>
      <color theme="1"/>
      <name val="Calibri"/>
    </font>
    <font>
      <b/>
      <sz val="12.0"/>
      <color theme="0"/>
      <name val="Calibri"/>
    </font>
    <font/>
    <font>
      <b/>
      <sz val="12.0"/>
      <color theme="1"/>
      <name val="Calibri"/>
    </font>
    <font>
      <sz val="11.0"/>
      <color theme="0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i/>
      <sz val="12.0"/>
      <color theme="1"/>
      <name val="Calibri"/>
    </font>
    <font>
      <i/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</fills>
  <borders count="18">
    <border/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thin">
        <color rgb="FFD0CECE"/>
      </bottom>
    </border>
    <border>
      <top/>
      <bottom style="thin">
        <color rgb="FFD0CECE"/>
      </bottom>
    </border>
    <border>
      <right/>
      <top/>
      <bottom style="thin">
        <color rgb="FFD0CECE"/>
      </bottom>
    </border>
    <border>
      <left/>
      <right/>
      <bottom/>
    </border>
    <border>
      <left/>
      <right/>
      <top style="thin">
        <color rgb="FFF2F2F2"/>
      </top>
      <bottom/>
    </border>
    <border>
      <left/>
      <right/>
      <top/>
      <bottom style="thin">
        <color rgb="FFD0CECE"/>
      </bottom>
    </border>
    <border>
      <bottom style="thin">
        <color rgb="FFD0CECE"/>
      </bottom>
    </border>
    <border>
      <top style="thin">
        <color rgb="FFD0CECE"/>
      </top>
      <bottom style="thin">
        <color rgb="FFD0CECE"/>
      </bottom>
    </border>
    <border>
      <left/>
      <right/>
      <top/>
      <bottom style="thin">
        <color rgb="FF002060"/>
      </bottom>
    </border>
    <border>
      <top style="hair">
        <color rgb="FF002060"/>
      </top>
      <bottom style="hair">
        <color rgb="FF002060"/>
      </bottom>
    </border>
    <border>
      <left/>
      <right/>
      <top style="thin">
        <color rgb="FF002060"/>
      </top>
      <bottom style="thin">
        <color rgb="FF00206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2" fontId="1" numFmtId="0" xfId="0" applyAlignment="1" applyBorder="1" applyFont="1">
      <alignment vertical="center"/>
    </xf>
    <xf borderId="6" fillId="2" fontId="4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5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horizontal="center" shrinkToFit="0" vertical="center" wrapText="1"/>
    </xf>
    <xf borderId="11" fillId="3" fontId="1" numFmtId="0" xfId="0" applyAlignment="1" applyBorder="1" applyFill="1" applyFont="1">
      <alignment horizontal="left" vertical="center"/>
    </xf>
    <xf borderId="11" fillId="3" fontId="1" numFmtId="2" xfId="0" applyAlignment="1" applyBorder="1" applyFont="1" applyNumberFormat="1">
      <alignment vertical="center"/>
    </xf>
    <xf borderId="11" fillId="3" fontId="1" numFmtId="1" xfId="0" applyAlignment="1" applyBorder="1" applyFont="1" applyNumberFormat="1">
      <alignment vertical="center"/>
    </xf>
    <xf borderId="11" fillId="3" fontId="1" numFmtId="0" xfId="0" applyAlignment="1" applyBorder="1" applyFont="1">
      <alignment vertical="center"/>
    </xf>
    <xf borderId="11" fillId="3" fontId="1" numFmtId="164" xfId="0" applyAlignment="1" applyBorder="1" applyFont="1" applyNumberFormat="1">
      <alignment vertical="center"/>
    </xf>
    <xf borderId="12" fillId="0" fontId="1" numFmtId="0" xfId="0" applyBorder="1" applyFont="1"/>
    <xf borderId="12" fillId="0" fontId="1" numFmtId="2" xfId="0" applyAlignment="1" applyBorder="1" applyFont="1" applyNumberFormat="1">
      <alignment vertical="center"/>
    </xf>
    <xf borderId="12" fillId="0" fontId="1" numFmtId="1" xfId="0" applyAlignment="1" applyBorder="1" applyFont="1" applyNumberFormat="1">
      <alignment vertical="center"/>
    </xf>
    <xf borderId="12" fillId="0" fontId="1" numFmtId="0" xfId="0" applyAlignment="1" applyBorder="1" applyFont="1">
      <alignment vertical="center"/>
    </xf>
    <xf borderId="12" fillId="0" fontId="1" numFmtId="164" xfId="0" applyAlignment="1" applyBorder="1" applyFont="1" applyNumberFormat="1">
      <alignment vertical="center"/>
    </xf>
    <xf borderId="13" fillId="0" fontId="1" numFmtId="0" xfId="0" applyBorder="1" applyFont="1"/>
    <xf borderId="13" fillId="0" fontId="1" numFmtId="2" xfId="0" applyAlignment="1" applyBorder="1" applyFont="1" applyNumberFormat="1">
      <alignment vertical="center"/>
    </xf>
    <xf borderId="13" fillId="0" fontId="1" numFmtId="1" xfId="0" applyAlignment="1" applyBorder="1" applyFont="1" applyNumberFormat="1">
      <alignment vertical="center"/>
    </xf>
    <xf borderId="13" fillId="0" fontId="1" numFmtId="0" xfId="0" applyAlignment="1" applyBorder="1" applyFont="1">
      <alignment vertical="center"/>
    </xf>
    <xf borderId="13" fillId="0" fontId="1" numFmtId="164" xfId="0" applyAlignment="1" applyBorder="1" applyFont="1" applyNumberFormat="1">
      <alignment vertical="center"/>
    </xf>
    <xf borderId="0" fillId="0" fontId="1" numFmtId="0" xfId="0" applyFont="1"/>
    <xf borderId="0" fillId="0" fontId="1" numFmtId="2" xfId="0" applyAlignment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11" fillId="3" fontId="6" numFmtId="0" xfId="0" applyAlignment="1" applyBorder="1" applyFont="1">
      <alignment horizontal="left" vertical="center"/>
    </xf>
    <xf borderId="11" fillId="3" fontId="6" numFmtId="164" xfId="0" applyAlignment="1" applyBorder="1" applyFont="1" applyNumberFormat="1">
      <alignment vertical="center"/>
    </xf>
    <xf borderId="14" fillId="2" fontId="4" numFmtId="0" xfId="0" applyBorder="1" applyFont="1"/>
    <xf borderId="5" fillId="2" fontId="7" numFmtId="0" xfId="0" applyBorder="1" applyFont="1"/>
    <xf borderId="5" fillId="2" fontId="8" numFmtId="0" xfId="0" applyAlignment="1" applyBorder="1" applyFont="1">
      <alignment horizontal="right"/>
    </xf>
    <xf borderId="5" fillId="2" fontId="8" numFmtId="0" xfId="0" applyAlignment="1" applyBorder="1" applyFont="1">
      <alignment horizontal="center"/>
    </xf>
    <xf borderId="15" fillId="0" fontId="1" numFmtId="0" xfId="0" applyBorder="1" applyFont="1"/>
    <xf borderId="15" fillId="0" fontId="1" numFmtId="2" xfId="0" applyBorder="1" applyFont="1" applyNumberFormat="1"/>
    <xf borderId="0" fillId="0" fontId="1" numFmtId="2" xfId="0" applyFont="1" applyNumberFormat="1"/>
    <xf borderId="16" fillId="3" fontId="9" numFmtId="0" xfId="0" applyBorder="1" applyFont="1"/>
    <xf borderId="16" fillId="3" fontId="9" numFmtId="165" xfId="0" applyBorder="1" applyFont="1" applyNumberFormat="1"/>
    <xf borderId="0" fillId="0" fontId="9" numFmtId="0" xfId="0" applyFont="1"/>
    <xf borderId="0" fillId="0" fontId="9" numFmtId="165" xfId="0" applyFont="1" applyNumberFormat="1"/>
    <xf borderId="0" fillId="0" fontId="2" numFmtId="0" xfId="0" applyAlignment="1" applyFont="1">
      <alignment horizontal="left"/>
    </xf>
    <xf borderId="0" fillId="0" fontId="10" numFmtId="0" xfId="0" applyAlignment="1" applyFont="1">
      <alignment horizontal="right" vertical="center"/>
    </xf>
    <xf borderId="0" fillId="0" fontId="11" numFmtId="0" xfId="0" applyAlignment="1" applyFont="1">
      <alignment horizontal="left"/>
    </xf>
    <xf borderId="0" fillId="0" fontId="11" numFmtId="0" xfId="0" applyAlignment="1" applyFont="1">
      <alignment horizontal="right"/>
    </xf>
    <xf borderId="0" fillId="0" fontId="11" numFmtId="0" xfId="0" applyFont="1"/>
    <xf borderId="0" fillId="0" fontId="1" numFmtId="0" xfId="0" applyAlignment="1" applyFont="1">
      <alignment horizontal="center" shrinkToFit="0" vertical="center" wrapText="1"/>
    </xf>
    <xf borderId="17" fillId="4" fontId="1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17" fillId="4" fontId="1" numFmtId="0" xfId="0" applyAlignment="1" applyBorder="1" applyFont="1">
      <alignment horizontal="right" vertical="center"/>
    </xf>
    <xf borderId="17" fillId="4" fontId="1" numFmtId="0" xfId="0" applyAlignment="1" applyBorder="1" applyFont="1">
      <alignment horizontal="left" vertical="center"/>
    </xf>
    <xf borderId="17" fillId="0" fontId="1" numFmtId="2" xfId="0" applyAlignment="1" applyBorder="1" applyFont="1" applyNumberFormat="1">
      <alignment vertical="center"/>
    </xf>
    <xf borderId="17" fillId="0" fontId="1" numFmtId="1" xfId="0" applyAlignment="1" applyBorder="1" applyFont="1" applyNumberFormat="1">
      <alignment vertical="center"/>
    </xf>
    <xf borderId="0" fillId="0" fontId="1" numFmtId="2" xfId="0" applyAlignment="1" applyFont="1" applyNumberFormat="1">
      <alignment horizontal="right" vertical="center"/>
    </xf>
    <xf borderId="17" fillId="0" fontId="1" numFmtId="2" xfId="0" applyBorder="1" applyFont="1" applyNumberFormat="1"/>
    <xf borderId="17" fillId="4" fontId="1" numFmtId="0" xfId="0" applyAlignment="1" applyBorder="1" applyFont="1">
      <alignment horizontal="right"/>
    </xf>
    <xf borderId="17" fillId="4" fontId="1" numFmtId="0" xfId="0" applyBorder="1" applyFont="1"/>
    <xf borderId="17" fillId="0" fontId="1" numFmtId="1" xfId="0" applyBorder="1" applyFont="1" applyNumberFormat="1"/>
    <xf borderId="0" fillId="0" fontId="1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500">
                <a:solidFill>
                  <a:schemeClr val="lt1"/>
                </a:solidFill>
                <a:latin typeface="+mn-lt"/>
              </a:defRPr>
            </a:pPr>
            <a:r>
              <a:rPr b="1" i="0" sz="2500">
                <a:solidFill>
                  <a:schemeClr val="lt1"/>
                </a:solidFill>
                <a:latin typeface="+mn-lt"/>
              </a:rPr>
              <a:t>P/E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Honda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'Multiple Valuation'!$Q$6</c:f>
              <c:numCache/>
            </c:numRef>
          </c:val>
        </c:ser>
        <c:ser>
          <c:idx val="1"/>
          <c:order val="1"/>
          <c:tx>
            <c:v>Mitsubishi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'Multiple Valuation'!$Q$7</c:f>
              <c:numCache/>
            </c:numRef>
          </c:val>
        </c:ser>
        <c:ser>
          <c:idx val="2"/>
          <c:order val="2"/>
          <c:tx>
            <c:v>Nissan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'Multiple Valuation'!$Q$8</c:f>
              <c:numCache/>
            </c:numRef>
          </c:val>
        </c:ser>
        <c:ser>
          <c:idx val="3"/>
          <c:order val="3"/>
          <c:tx>
            <c:v>Median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'Multiple Valuation'!$Q$21</c:f>
              <c:numCache/>
            </c:numRef>
          </c:val>
        </c:ser>
        <c:axId val="1675688725"/>
        <c:axId val="322206675"/>
      </c:barChart>
      <c:catAx>
        <c:axId val="16756887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2206675"/>
      </c:catAx>
      <c:valAx>
        <c:axId val="3222066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675688725"/>
        <c:crosses val="max"/>
      </c:valAx>
    </c:plotArea>
    <c:legend>
      <c:legendPos val="b"/>
      <c:overlay val="0"/>
      <c:txPr>
        <a:bodyPr/>
        <a:lstStyle/>
        <a:p>
          <a:pPr lvl="0">
            <a:defRPr b="0" i="0" sz="15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chemeClr val="lt1"/>
                </a:solidFill>
                <a:latin typeface="+mn-lt"/>
              </a:defRPr>
            </a:pPr>
            <a:r>
              <a:rPr b="1" i="0" sz="2000">
                <a:solidFill>
                  <a:schemeClr val="lt1"/>
                </a:solidFill>
                <a:latin typeface="+mn-lt"/>
              </a:rPr>
              <a:t>EV/EBITDA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Honda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'Multiple Valuation'!$O$6</c:f>
              <c:numCache/>
            </c:numRef>
          </c:val>
        </c:ser>
        <c:ser>
          <c:idx val="1"/>
          <c:order val="1"/>
          <c:tx>
            <c:v>Mitsubishi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'Multiple Valuation'!$O$7</c:f>
              <c:numCache/>
            </c:numRef>
          </c:val>
        </c:ser>
        <c:ser>
          <c:idx val="2"/>
          <c:order val="2"/>
          <c:tx>
            <c:v>Nissan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'Multiple Valuation'!$O$8</c:f>
              <c:numCache/>
            </c:numRef>
          </c:val>
        </c:ser>
        <c:ser>
          <c:idx val="3"/>
          <c:order val="3"/>
          <c:tx>
            <c:v>Median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'Multiple Valuation'!$O$21</c:f>
              <c:numCache/>
            </c:numRef>
          </c:val>
        </c:ser>
        <c:axId val="808126786"/>
        <c:axId val="453630251"/>
      </c:barChart>
      <c:catAx>
        <c:axId val="8081267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630251"/>
      </c:catAx>
      <c:valAx>
        <c:axId val="4536302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808126786"/>
        <c:crosses val="max"/>
      </c:valAx>
    </c:plotArea>
    <c:legend>
      <c:legendPos val="b"/>
      <c:overlay val="0"/>
      <c:txPr>
        <a:bodyPr/>
        <a:lstStyle/>
        <a:p>
          <a:pPr lvl="0">
            <a:defRPr b="0" i="0" sz="15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chemeClr val="lt1"/>
                </a:solidFill>
                <a:latin typeface="+mn-lt"/>
              </a:defRPr>
            </a:pPr>
            <a:r>
              <a:rPr b="1" i="0" sz="2000">
                <a:solidFill>
                  <a:schemeClr val="lt1"/>
                </a:solidFill>
                <a:latin typeface="+mn-lt"/>
              </a:rPr>
              <a:t>EV/Revenue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Honda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'Multiple Valuation'!$N$6</c:f>
              <c:numCache/>
            </c:numRef>
          </c:val>
        </c:ser>
        <c:ser>
          <c:idx val="1"/>
          <c:order val="1"/>
          <c:tx>
            <c:v>Mitsubishi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'Multiple Valuation'!$N$7</c:f>
              <c:numCache/>
            </c:numRef>
          </c:val>
        </c:ser>
        <c:ser>
          <c:idx val="2"/>
          <c:order val="2"/>
          <c:tx>
            <c:v>Nissan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'Multiple Valuation'!$N$8</c:f>
              <c:numCache/>
            </c:numRef>
          </c:val>
        </c:ser>
        <c:ser>
          <c:idx val="3"/>
          <c:order val="3"/>
          <c:tx>
            <c:v>Median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'Multiple Valuation'!$N$21</c:f>
              <c:numCache/>
            </c:numRef>
          </c:val>
        </c:ser>
        <c:axId val="1910133135"/>
        <c:axId val="1492268445"/>
      </c:barChart>
      <c:catAx>
        <c:axId val="191013313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268445"/>
      </c:catAx>
      <c:valAx>
        <c:axId val="14922684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910133135"/>
        <c:crosses val="max"/>
      </c:valAx>
    </c:plotArea>
    <c:legend>
      <c:legendPos val="b"/>
      <c:overlay val="0"/>
      <c:txPr>
        <a:bodyPr/>
        <a:lstStyle/>
        <a:p>
          <a:pPr lvl="0">
            <a:defRPr b="0" i="0" sz="15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25</xdr:row>
      <xdr:rowOff>0</xdr:rowOff>
    </xdr:from>
    <xdr:ext cx="8153400" cy="4600575"/>
    <xdr:graphicFrame>
      <xdr:nvGraphicFramePr>
        <xdr:cNvPr id="29666052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828675</xdr:colOff>
      <xdr:row>0</xdr:row>
      <xdr:rowOff>9525</xdr:rowOff>
    </xdr:from>
    <xdr:ext cx="8258175" cy="4591050"/>
    <xdr:graphicFrame>
      <xdr:nvGraphicFramePr>
        <xdr:cNvPr id="164916873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8153400" cy="4600575"/>
    <xdr:graphicFrame>
      <xdr:nvGraphicFramePr>
        <xdr:cNvPr id="159682649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78"/>
    <col customWidth="1" min="2" max="2" width="14.44"/>
    <col customWidth="1" min="3" max="4" width="13.33"/>
    <col customWidth="1" min="5" max="5" width="14.78"/>
    <col customWidth="1" min="6" max="6" width="13.78"/>
    <col customWidth="1" min="7" max="7" width="14.78"/>
    <col customWidth="1" min="8" max="8" width="2.44"/>
    <col customWidth="1" min="9" max="12" width="13.33"/>
    <col customWidth="1" min="13" max="13" width="2.44"/>
    <col customWidth="1" min="14" max="17" width="13.33"/>
    <col customWidth="1" min="18" max="18" width="10.78"/>
    <col customWidth="1" min="19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 t="s">
        <v>0</v>
      </c>
      <c r="N2" s="3" t="s">
        <v>1</v>
      </c>
      <c r="R2" s="1"/>
      <c r="S2" s="1"/>
      <c r="T2" s="1"/>
      <c r="U2" s="1"/>
      <c r="V2" s="1"/>
      <c r="W2" s="1"/>
      <c r="X2" s="1"/>
      <c r="Y2" s="1"/>
      <c r="Z2" s="1"/>
    </row>
    <row r="3" ht="33.0" customHeight="1">
      <c r="A3" s="1"/>
      <c r="B3" s="4" t="s">
        <v>2</v>
      </c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5" t="s">
        <v>3</v>
      </c>
      <c r="C4" s="6" t="s">
        <v>4</v>
      </c>
      <c r="D4" s="7"/>
      <c r="E4" s="7"/>
      <c r="F4" s="7"/>
      <c r="G4" s="8"/>
      <c r="H4" s="9"/>
      <c r="I4" s="10" t="s">
        <v>5</v>
      </c>
      <c r="J4" s="11"/>
      <c r="K4" s="11"/>
      <c r="L4" s="12"/>
      <c r="M4" s="9"/>
      <c r="N4" s="10" t="s">
        <v>6</v>
      </c>
      <c r="O4" s="11"/>
      <c r="P4" s="11"/>
      <c r="Q4" s="12"/>
      <c r="R4" s="1"/>
      <c r="S4" s="1"/>
      <c r="T4" s="1"/>
      <c r="U4" s="1"/>
      <c r="V4" s="1"/>
      <c r="W4" s="1"/>
      <c r="X4" s="1"/>
      <c r="Y4" s="1"/>
      <c r="Z4" s="1"/>
    </row>
    <row r="5" ht="43.5" customHeight="1">
      <c r="A5" s="1"/>
      <c r="B5" s="13"/>
      <c r="C5" s="14" t="s">
        <v>7</v>
      </c>
      <c r="D5" s="15" t="s">
        <v>8</v>
      </c>
      <c r="E5" s="14" t="s">
        <v>9</v>
      </c>
      <c r="F5" s="14" t="s">
        <v>10</v>
      </c>
      <c r="G5" s="16" t="s">
        <v>11</v>
      </c>
      <c r="H5" s="9"/>
      <c r="I5" s="14" t="s">
        <v>12</v>
      </c>
      <c r="J5" s="15" t="s">
        <v>13</v>
      </c>
      <c r="K5" s="15" t="s">
        <v>14</v>
      </c>
      <c r="L5" s="14" t="s">
        <v>15</v>
      </c>
      <c r="M5" s="9"/>
      <c r="N5" s="14" t="s">
        <v>16</v>
      </c>
      <c r="O5" s="14" t="s">
        <v>17</v>
      </c>
      <c r="P5" s="15" t="s">
        <v>18</v>
      </c>
      <c r="Q5" s="15" t="s">
        <v>19</v>
      </c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7" t="s">
        <v>20</v>
      </c>
      <c r="C6" s="18">
        <f>Data!D3</f>
        <v>28.55</v>
      </c>
      <c r="D6" s="19">
        <f>Data!E3</f>
        <v>4828907.38</v>
      </c>
      <c r="E6" s="20">
        <f t="shared" ref="E6:E15" si="1">C6*D6</f>
        <v>137865305.7</v>
      </c>
      <c r="F6" s="18">
        <f>Data!I3</f>
        <v>37377769.39</v>
      </c>
      <c r="G6" s="18">
        <f t="shared" ref="G6:G15" si="2">E6+F6</f>
        <v>175243075.1</v>
      </c>
      <c r="H6" s="20"/>
      <c r="I6" s="18">
        <f>Data!K3</f>
        <v>137071658.9</v>
      </c>
      <c r="J6" s="18">
        <f>Data!L3</f>
        <v>3.89</v>
      </c>
      <c r="K6" s="18">
        <v>6293340.49</v>
      </c>
      <c r="L6" s="18">
        <f>Data!M3</f>
        <v>14946679.26</v>
      </c>
      <c r="M6" s="20"/>
      <c r="N6" s="21">
        <f t="shared" ref="N6:N15" si="3">G6/I6</f>
        <v>1.278477816</v>
      </c>
      <c r="O6" s="21">
        <f t="shared" ref="O6:O15" si="4">G6/L6</f>
        <v>11.72454911</v>
      </c>
      <c r="P6" s="21">
        <f t="shared" ref="P6:P15" si="5">E6/K6</f>
        <v>21.90653849</v>
      </c>
      <c r="Q6" s="21">
        <f t="shared" ref="Q6:Q15" si="6">C6/J6</f>
        <v>7.33933162</v>
      </c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7" t="s">
        <v>21</v>
      </c>
      <c r="C7" s="18">
        <f>Data!D4</f>
        <v>3.55</v>
      </c>
      <c r="D7" s="19">
        <f>Data!E4</f>
        <v>1486808.3</v>
      </c>
      <c r="E7" s="20">
        <f t="shared" si="1"/>
        <v>5278169.465</v>
      </c>
      <c r="F7" s="18">
        <f>Data!I4</f>
        <v>-1153278.89</v>
      </c>
      <c r="G7" s="18">
        <f t="shared" si="2"/>
        <v>4124890.575</v>
      </c>
      <c r="H7" s="20"/>
      <c r="I7" s="18">
        <f>Data!K4</f>
        <v>17688540.7</v>
      </c>
      <c r="J7" s="18">
        <f>Data!L4</f>
        <v>0.72</v>
      </c>
      <c r="K7" s="18">
        <v>987905.72</v>
      </c>
      <c r="L7" s="18">
        <f>Data!M4</f>
        <v>1614542.25</v>
      </c>
      <c r="M7" s="20"/>
      <c r="N7" s="21">
        <f t="shared" si="3"/>
        <v>0.2331956403</v>
      </c>
      <c r="O7" s="21">
        <f t="shared" si="4"/>
        <v>2.554835945</v>
      </c>
      <c r="P7" s="21">
        <f t="shared" si="5"/>
        <v>5.342786622</v>
      </c>
      <c r="Q7" s="21">
        <f t="shared" si="6"/>
        <v>4.930555556</v>
      </c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7" t="s">
        <v>22</v>
      </c>
      <c r="C8" s="18">
        <f>Data!D5</f>
        <v>6.08</v>
      </c>
      <c r="D8" s="19">
        <f>Data!E5</f>
        <v>3740203.17</v>
      </c>
      <c r="E8" s="20">
        <f t="shared" si="1"/>
        <v>22740435.27</v>
      </c>
      <c r="F8" s="18">
        <f>Data!I5</f>
        <v>36011610.21</v>
      </c>
      <c r="G8" s="18">
        <f t="shared" si="2"/>
        <v>58752045.48</v>
      </c>
      <c r="H8" s="20"/>
      <c r="I8" s="18">
        <f>Data!K5</f>
        <v>80439019.44</v>
      </c>
      <c r="J8" s="18">
        <f>Data!L5</f>
        <v>1.4</v>
      </c>
      <c r="K8" s="18">
        <v>2724398.64</v>
      </c>
      <c r="L8" s="18">
        <f>Data!M5</f>
        <v>8346245.55</v>
      </c>
      <c r="M8" s="20"/>
      <c r="N8" s="21">
        <f t="shared" si="3"/>
        <v>0.730392363</v>
      </c>
      <c r="O8" s="21">
        <f t="shared" si="4"/>
        <v>7.039338243</v>
      </c>
      <c r="P8" s="21">
        <f t="shared" si="5"/>
        <v>8.34695589</v>
      </c>
      <c r="Q8" s="21">
        <f t="shared" si="6"/>
        <v>4.342857143</v>
      </c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2" t="s">
        <v>23</v>
      </c>
      <c r="C9" s="23">
        <f>Data!D6</f>
        <v>194.61</v>
      </c>
      <c r="D9" s="24">
        <f>Data!E6</f>
        <v>13474172.03</v>
      </c>
      <c r="E9" s="23">
        <f t="shared" si="1"/>
        <v>2622208619</v>
      </c>
      <c r="F9" s="23">
        <f>Data!I6</f>
        <v>142337977</v>
      </c>
      <c r="G9" s="23">
        <f t="shared" si="2"/>
        <v>2764546596</v>
      </c>
      <c r="H9" s="25"/>
      <c r="I9" s="23">
        <f>Data!K6</f>
        <v>294193993.9</v>
      </c>
      <c r="J9" s="23">
        <v>25.25</v>
      </c>
      <c r="K9" s="23">
        <v>2.721926144E7</v>
      </c>
      <c r="L9" s="23">
        <f>Data!M6</f>
        <v>53547899.26</v>
      </c>
      <c r="M9" s="25"/>
      <c r="N9" s="26">
        <f t="shared" si="3"/>
        <v>9.397019155</v>
      </c>
      <c r="O9" s="26">
        <f t="shared" si="4"/>
        <v>51.62754532</v>
      </c>
      <c r="P9" s="26">
        <f t="shared" si="5"/>
        <v>96.33650878</v>
      </c>
      <c r="Q9" s="26">
        <f t="shared" si="6"/>
        <v>7.707326733</v>
      </c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2" t="s">
        <v>24</v>
      </c>
      <c r="C10" s="23">
        <f>Data!D7</f>
        <v>95.09</v>
      </c>
      <c r="D10" s="24">
        <f>Data!E7</f>
        <v>501295.26</v>
      </c>
      <c r="E10" s="25">
        <f t="shared" si="1"/>
        <v>47668166.27</v>
      </c>
      <c r="F10" s="23">
        <f>Data!I7</f>
        <v>122855226.5</v>
      </c>
      <c r="G10" s="23">
        <f t="shared" si="2"/>
        <v>170523392.8</v>
      </c>
      <c r="H10" s="25"/>
      <c r="I10" s="23">
        <f>Data!K7</f>
        <v>334804457.7</v>
      </c>
      <c r="J10" s="23">
        <f>Data!L7</f>
        <v>25.2</v>
      </c>
      <c r="K10" s="23">
        <v>1.342705405E7</v>
      </c>
      <c r="L10" s="23">
        <f>Data!M7</f>
        <v>54369002.17</v>
      </c>
      <c r="M10" s="25"/>
      <c r="N10" s="26">
        <f t="shared" si="3"/>
        <v>0.5093223487</v>
      </c>
      <c r="O10" s="26">
        <f t="shared" si="4"/>
        <v>3.136408357</v>
      </c>
      <c r="P10" s="26">
        <f t="shared" si="5"/>
        <v>3.550158218</v>
      </c>
      <c r="Q10" s="26">
        <f t="shared" si="6"/>
        <v>3.773412698</v>
      </c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2" t="s">
        <v>25</v>
      </c>
      <c r="C11" s="23">
        <f>Data!D8</f>
        <v>34</v>
      </c>
      <c r="D11" s="24">
        <f>Data!E8</f>
        <v>2909265.86</v>
      </c>
      <c r="E11" s="25">
        <f t="shared" si="1"/>
        <v>98915039.24</v>
      </c>
      <c r="F11" s="23">
        <f>Data!I8</f>
        <v>-5777396.81</v>
      </c>
      <c r="G11" s="23">
        <f t="shared" si="2"/>
        <v>93137642.43</v>
      </c>
      <c r="H11" s="25"/>
      <c r="I11" s="23">
        <f>Data!K8</f>
        <v>93103697.72</v>
      </c>
      <c r="J11" s="23">
        <f>Data!L8</f>
        <v>1.59</v>
      </c>
      <c r="K11" s="23">
        <v>4637035.26</v>
      </c>
      <c r="L11" s="23">
        <f>Data!M8</f>
        <v>6096272.81</v>
      </c>
      <c r="M11" s="25"/>
      <c r="N11" s="26">
        <f t="shared" si="3"/>
        <v>1.00036459</v>
      </c>
      <c r="O11" s="26">
        <f t="shared" si="4"/>
        <v>15.27780093</v>
      </c>
      <c r="P11" s="26">
        <f t="shared" si="5"/>
        <v>21.33152622</v>
      </c>
      <c r="Q11" s="26">
        <f t="shared" si="6"/>
        <v>21.3836478</v>
      </c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2" t="s">
        <v>26</v>
      </c>
      <c r="C12" s="23">
        <f>Data!D9</f>
        <v>53.27</v>
      </c>
      <c r="D12" s="24">
        <f>Data!E9</f>
        <v>1200000</v>
      </c>
      <c r="E12" s="25">
        <f t="shared" si="1"/>
        <v>63924000</v>
      </c>
      <c r="F12" s="23">
        <f>Data!I9</f>
        <v>96182000</v>
      </c>
      <c r="G12" s="23">
        <f t="shared" si="2"/>
        <v>160106000</v>
      </c>
      <c r="H12" s="25"/>
      <c r="I12" s="23">
        <f>Data!K9</f>
        <v>182719000</v>
      </c>
      <c r="J12" s="23">
        <f>Data!L9</f>
        <v>9.46</v>
      </c>
      <c r="K12" s="23">
        <v>1.107E7</v>
      </c>
      <c r="L12" s="23">
        <f>Data!M9</f>
        <v>25371000</v>
      </c>
      <c r="M12" s="25"/>
      <c r="N12" s="26">
        <f t="shared" si="3"/>
        <v>0.8762416607</v>
      </c>
      <c r="O12" s="26">
        <f t="shared" si="4"/>
        <v>6.310590832</v>
      </c>
      <c r="P12" s="26">
        <f t="shared" si="5"/>
        <v>5.774525745</v>
      </c>
      <c r="Q12" s="26">
        <f t="shared" si="6"/>
        <v>5.631078224</v>
      </c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2" t="s">
        <v>27</v>
      </c>
      <c r="C13" s="23">
        <f>Data!D10</f>
        <v>9.9</v>
      </c>
      <c r="D13" s="24">
        <f>Data!E10</f>
        <v>3999960.12</v>
      </c>
      <c r="E13" s="25">
        <f t="shared" si="1"/>
        <v>39599605.19</v>
      </c>
      <c r="F13" s="23">
        <f>Data!I10</f>
        <v>133532000</v>
      </c>
      <c r="G13" s="23">
        <f t="shared" si="2"/>
        <v>173131605.2</v>
      </c>
      <c r="H13" s="25"/>
      <c r="I13" s="23">
        <f>Data!K10</f>
        <v>46196000</v>
      </c>
      <c r="J13" s="23">
        <f>Data!L4</f>
        <v>0.72</v>
      </c>
      <c r="K13" s="23">
        <v>3529000.0</v>
      </c>
      <c r="L13" s="23">
        <f>Data!M10</f>
        <v>10381000</v>
      </c>
      <c r="M13" s="25"/>
      <c r="N13" s="26">
        <f t="shared" si="3"/>
        <v>3.747761823</v>
      </c>
      <c r="O13" s="26">
        <f t="shared" si="4"/>
        <v>16.67773868</v>
      </c>
      <c r="P13" s="26">
        <f t="shared" si="5"/>
        <v>11.22119728</v>
      </c>
      <c r="Q13" s="26">
        <f t="shared" si="6"/>
        <v>13.75</v>
      </c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27" t="s">
        <v>28</v>
      </c>
      <c r="C14" s="28">
        <f>Data!D11</f>
        <v>2.83</v>
      </c>
      <c r="D14" s="29">
        <f>Data!E11</f>
        <v>11575299.45</v>
      </c>
      <c r="E14" s="30">
        <f t="shared" si="1"/>
        <v>32758097.44</v>
      </c>
      <c r="F14" s="28">
        <f>Data!I11</f>
        <v>-6831998.93</v>
      </c>
      <c r="G14" s="28">
        <f t="shared" si="2"/>
        <v>25926098.51</v>
      </c>
      <c r="H14" s="30"/>
      <c r="I14" s="28">
        <f>Data!K11</f>
        <v>88949062.31</v>
      </c>
      <c r="J14" s="28">
        <f>Data!L11</f>
        <v>0.84</v>
      </c>
      <c r="K14" s="28">
        <v>1313546.11</v>
      </c>
      <c r="L14" s="28">
        <f>Data!M11</f>
        <v>2538120.23</v>
      </c>
      <c r="M14" s="30"/>
      <c r="N14" s="31">
        <f t="shared" si="3"/>
        <v>0.2914712965</v>
      </c>
      <c r="O14" s="31">
        <f t="shared" si="4"/>
        <v>10.21468495</v>
      </c>
      <c r="P14" s="26">
        <f t="shared" si="5"/>
        <v>24.93867341</v>
      </c>
      <c r="Q14" s="26">
        <f t="shared" si="6"/>
        <v>3.369047619</v>
      </c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32" t="s">
        <v>29</v>
      </c>
      <c r="C15" s="33">
        <f>Data!D12</f>
        <v>403.84</v>
      </c>
      <c r="D15" s="34">
        <f>Data!E12</f>
        <v>3207000</v>
      </c>
      <c r="E15" s="25">
        <f t="shared" si="1"/>
        <v>1295114880</v>
      </c>
      <c r="F15" s="23">
        <f>Data!I12</f>
        <v>-20865000</v>
      </c>
      <c r="G15" s="23">
        <f t="shared" si="2"/>
        <v>1274249880</v>
      </c>
      <c r="H15" s="1"/>
      <c r="I15" s="33">
        <f>Data!K12</f>
        <v>97150000</v>
      </c>
      <c r="J15" s="33">
        <f>Data!L12</f>
        <v>4.01</v>
      </c>
      <c r="K15" s="33">
        <v>1.2704E7</v>
      </c>
      <c r="L15" s="33">
        <f>Data!M12</f>
        <v>13834000</v>
      </c>
      <c r="M15" s="1"/>
      <c r="N15" s="35">
        <f t="shared" si="3"/>
        <v>13.11631374</v>
      </c>
      <c r="O15" s="35">
        <f t="shared" si="4"/>
        <v>92.11001012</v>
      </c>
      <c r="P15" s="26">
        <f t="shared" si="5"/>
        <v>101.9454408</v>
      </c>
      <c r="Q15" s="26">
        <f t="shared" si="6"/>
        <v>100.7082294</v>
      </c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36" t="s">
        <v>30</v>
      </c>
      <c r="C16" s="18"/>
      <c r="D16" s="19"/>
      <c r="E16" s="20"/>
      <c r="F16" s="18"/>
      <c r="G16" s="18"/>
      <c r="H16" s="20"/>
      <c r="I16" s="18"/>
      <c r="J16" s="18"/>
      <c r="K16" s="18"/>
      <c r="L16" s="18"/>
      <c r="M16" s="20"/>
      <c r="N16" s="21">
        <f t="shared" ref="N16:Q16" si="7">MAX(N6:N15)</f>
        <v>13.11631374</v>
      </c>
      <c r="O16" s="21">
        <f t="shared" si="7"/>
        <v>92.11001012</v>
      </c>
      <c r="P16" s="21">
        <f t="shared" si="7"/>
        <v>101.9454408</v>
      </c>
      <c r="Q16" s="21">
        <f t="shared" si="7"/>
        <v>100.7082294</v>
      </c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36" t="s">
        <v>31</v>
      </c>
      <c r="C17" s="18"/>
      <c r="D17" s="19"/>
      <c r="E17" s="20"/>
      <c r="F17" s="18"/>
      <c r="G17" s="18"/>
      <c r="H17" s="20"/>
      <c r="I17" s="18"/>
      <c r="J17" s="18"/>
      <c r="K17" s="18"/>
      <c r="L17" s="18"/>
      <c r="M17" s="20"/>
      <c r="N17" s="21">
        <f t="shared" ref="N17:Q17" si="8">QUARTILE(N6:N15,3)</f>
        <v>3.130440821</v>
      </c>
      <c r="O17" s="21">
        <f t="shared" si="8"/>
        <v>16.32775424</v>
      </c>
      <c r="P17" s="21">
        <f t="shared" si="8"/>
        <v>24.18063968</v>
      </c>
      <c r="Q17" s="21">
        <f t="shared" si="8"/>
        <v>12.23933168</v>
      </c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36" t="s">
        <v>32</v>
      </c>
      <c r="C18" s="18"/>
      <c r="D18" s="19"/>
      <c r="E18" s="20"/>
      <c r="F18" s="18"/>
      <c r="G18" s="18"/>
      <c r="H18" s="20"/>
      <c r="I18" s="18"/>
      <c r="J18" s="18"/>
      <c r="K18" s="18"/>
      <c r="L18" s="18"/>
      <c r="M18" s="20"/>
      <c r="N18" s="21">
        <f t="shared" ref="N18:Q18" si="9">QUARTILE(N6:N15,2)</f>
        <v>0.9383031255</v>
      </c>
      <c r="O18" s="21">
        <f t="shared" si="9"/>
        <v>10.96961703</v>
      </c>
      <c r="P18" s="21">
        <f t="shared" si="9"/>
        <v>16.27636175</v>
      </c>
      <c r="Q18" s="21">
        <f t="shared" si="9"/>
        <v>6.485204922</v>
      </c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36" t="s">
        <v>33</v>
      </c>
      <c r="C19" s="18"/>
      <c r="D19" s="19"/>
      <c r="E19" s="20"/>
      <c r="F19" s="18"/>
      <c r="G19" s="18"/>
      <c r="H19" s="20"/>
      <c r="I19" s="18"/>
      <c r="J19" s="18"/>
      <c r="K19" s="18"/>
      <c r="L19" s="18"/>
      <c r="M19" s="20"/>
      <c r="N19" s="21">
        <f t="shared" ref="N19:Q19" si="10">QUARTILE(N6:N15,1)</f>
        <v>0.5645898523</v>
      </c>
      <c r="O19" s="21">
        <f t="shared" si="10"/>
        <v>6.492777685</v>
      </c>
      <c r="P19" s="21">
        <f t="shared" si="10"/>
        <v>6.417633281</v>
      </c>
      <c r="Q19" s="21">
        <f t="shared" si="10"/>
        <v>4.489781746</v>
      </c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36" t="s">
        <v>34</v>
      </c>
      <c r="C20" s="18"/>
      <c r="D20" s="19"/>
      <c r="E20" s="20"/>
      <c r="F20" s="18"/>
      <c r="G20" s="18"/>
      <c r="H20" s="20"/>
      <c r="I20" s="18"/>
      <c r="J20" s="18"/>
      <c r="K20" s="18"/>
      <c r="L20" s="18"/>
      <c r="M20" s="20"/>
      <c r="N20" s="37">
        <f t="shared" ref="N20:Q20" si="11">AVERAGE(N6:N15)</f>
        <v>3.118056044</v>
      </c>
      <c r="O20" s="37">
        <f t="shared" si="11"/>
        <v>21.66735025</v>
      </c>
      <c r="P20" s="37">
        <f t="shared" si="11"/>
        <v>30.06943115</v>
      </c>
      <c r="Q20" s="37">
        <f t="shared" si="11"/>
        <v>17.29354868</v>
      </c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6" t="s">
        <v>35</v>
      </c>
      <c r="C21" s="18"/>
      <c r="D21" s="19"/>
      <c r="E21" s="20"/>
      <c r="F21" s="18"/>
      <c r="G21" s="18"/>
      <c r="H21" s="20"/>
      <c r="I21" s="18"/>
      <c r="J21" s="18"/>
      <c r="K21" s="18"/>
      <c r="L21" s="18"/>
      <c r="M21" s="20"/>
      <c r="N21" s="37">
        <f t="shared" ref="N21:Q21" si="12">MEDIAN(N6:N15)</f>
        <v>0.9383031255</v>
      </c>
      <c r="O21" s="37">
        <f t="shared" si="12"/>
        <v>10.96961703</v>
      </c>
      <c r="P21" s="37">
        <f t="shared" si="12"/>
        <v>16.27636175</v>
      </c>
      <c r="Q21" s="37">
        <f t="shared" si="12"/>
        <v>6.485204922</v>
      </c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36" t="s">
        <v>36</v>
      </c>
      <c r="C22" s="18"/>
      <c r="D22" s="19"/>
      <c r="E22" s="20"/>
      <c r="F22" s="18"/>
      <c r="G22" s="18"/>
      <c r="H22" s="20"/>
      <c r="I22" s="18"/>
      <c r="J22" s="18"/>
      <c r="K22" s="18"/>
      <c r="L22" s="18"/>
      <c r="M22" s="20"/>
      <c r="N22" s="21">
        <f t="shared" ref="N22:Q22" si="13">MIN(N6:N15)</f>
        <v>0.2331956403</v>
      </c>
      <c r="O22" s="21">
        <f t="shared" si="13"/>
        <v>2.554835945</v>
      </c>
      <c r="P22" s="21">
        <f t="shared" si="13"/>
        <v>3.550158218</v>
      </c>
      <c r="Q22" s="21">
        <f t="shared" si="13"/>
        <v>3.369047619</v>
      </c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8" t="s">
        <v>37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40"/>
      <c r="O24" s="41"/>
      <c r="P24" s="40"/>
      <c r="Q24" s="40"/>
      <c r="R24" s="1"/>
      <c r="S24" s="1"/>
      <c r="T24" s="1"/>
      <c r="U24" s="1"/>
      <c r="V24" s="1"/>
      <c r="W24" s="1"/>
      <c r="X24" s="1"/>
      <c r="Y24" s="1"/>
      <c r="Z24" s="1"/>
    </row>
    <row r="25" ht="3.75" customHeight="1">
      <c r="A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42" t="s">
        <v>38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3">
        <f>N21*I6</f>
        <v>128614765.9</v>
      </c>
      <c r="O26" s="43">
        <f>O21*L6</f>
        <v>163959347.4</v>
      </c>
      <c r="P26" s="43">
        <f>+P28+P27</f>
        <v>139810455.8</v>
      </c>
      <c r="Q26" s="43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42" t="s">
        <v>10</v>
      </c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3">
        <f>F6</f>
        <v>37377769.39</v>
      </c>
      <c r="O27" s="43">
        <f>F6</f>
        <v>37377769.39</v>
      </c>
      <c r="P27" s="43">
        <f>F6</f>
        <v>37377769.39</v>
      </c>
      <c r="Q27" s="43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42" t="s">
        <v>39</v>
      </c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3">
        <f t="shared" ref="N28:O28" si="14">N26-N27</f>
        <v>91236996.56</v>
      </c>
      <c r="O28" s="43">
        <f t="shared" si="14"/>
        <v>126581578</v>
      </c>
      <c r="P28" s="43">
        <f>P21*K6</f>
        <v>102432686.4</v>
      </c>
      <c r="Q28" s="43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42" t="s">
        <v>40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3">
        <f>D6</f>
        <v>4828907.38</v>
      </c>
      <c r="O29" s="43">
        <f>D6</f>
        <v>4828907.38</v>
      </c>
      <c r="P29" s="43">
        <f>D6</f>
        <v>4828907.38</v>
      </c>
      <c r="Q29" s="43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N30" s="44"/>
      <c r="O30" s="44"/>
      <c r="P30" s="44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45" t="s">
        <v>41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6">
        <f t="shared" ref="N31:P31" si="15">N28/N29</f>
        <v>18.89392141</v>
      </c>
      <c r="O31" s="46">
        <f t="shared" si="15"/>
        <v>26.21329589</v>
      </c>
      <c r="P31" s="46">
        <f t="shared" si="15"/>
        <v>21.2123941</v>
      </c>
      <c r="Q31" s="46">
        <f>Q21*J6</f>
        <v>25.22744715</v>
      </c>
      <c r="R31" s="1"/>
      <c r="S31" s="1"/>
      <c r="T31" s="1"/>
      <c r="U31" s="1"/>
      <c r="V31" s="1"/>
      <c r="W31" s="1"/>
      <c r="X31" s="1"/>
      <c r="Y31" s="1"/>
      <c r="Z31" s="1"/>
    </row>
    <row r="32" ht="6.0" customHeight="1">
      <c r="A32" s="1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8"/>
      <c r="Q32" s="48"/>
      <c r="R32" s="48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49"/>
      <c r="N33" s="50" t="str">
        <f t="shared" ref="N33:Q33" si="16">IF(N31&gt;$D$7,"Undervalued","Overvalued")</f>
        <v>Overvalued</v>
      </c>
      <c r="O33" s="50" t="str">
        <f t="shared" si="16"/>
        <v>Overvalued</v>
      </c>
      <c r="P33" s="50" t="str">
        <f t="shared" si="16"/>
        <v>Overvalued</v>
      </c>
      <c r="Q33" s="50" t="str">
        <f t="shared" si="16"/>
        <v>Overvalued</v>
      </c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8" t="s">
        <v>42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40"/>
      <c r="O35" s="41"/>
      <c r="P35" s="40"/>
      <c r="Q35" s="40"/>
      <c r="R35" s="1"/>
      <c r="S35" s="1"/>
      <c r="T35" s="1"/>
      <c r="U35" s="1"/>
      <c r="V35" s="1"/>
      <c r="W35" s="1"/>
      <c r="X35" s="1"/>
      <c r="Y35" s="1"/>
      <c r="Z35" s="1"/>
    </row>
    <row r="36" ht="3.75" customHeight="1">
      <c r="A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42" t="s">
        <v>38</v>
      </c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3">
        <f>N21*I7</f>
        <v>16597213.02</v>
      </c>
      <c r="O37" s="43">
        <f>O21*L7</f>
        <v>17710910.16</v>
      </c>
      <c r="P37" s="43">
        <f>+P39+P38</f>
        <v>14926231.98</v>
      </c>
      <c r="Q37" s="43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42" t="s">
        <v>10</v>
      </c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3">
        <f>F7</f>
        <v>-1153278.89</v>
      </c>
      <c r="O38" s="43">
        <f>F7</f>
        <v>-1153278.89</v>
      </c>
      <c r="P38" s="43">
        <f>F7</f>
        <v>-1153278.89</v>
      </c>
      <c r="Q38" s="43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42" t="s">
        <v>39</v>
      </c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3">
        <f t="shared" ref="N39:O39" si="17">N37-N38</f>
        <v>17750491.91</v>
      </c>
      <c r="O39" s="43">
        <f t="shared" si="17"/>
        <v>18864189.05</v>
      </c>
      <c r="P39" s="43">
        <f>P21*K7</f>
        <v>16079510.87</v>
      </c>
      <c r="Q39" s="43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42" t="s">
        <v>40</v>
      </c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3">
        <f>D7</f>
        <v>1486808.3</v>
      </c>
      <c r="O40" s="43">
        <f>D7</f>
        <v>1486808.3</v>
      </c>
      <c r="P40" s="43">
        <f>D7</f>
        <v>1486808.3</v>
      </c>
      <c r="Q40" s="43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N41" s="44"/>
      <c r="O41" s="44"/>
      <c r="P41" s="44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45" t="s">
        <v>41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6">
        <f t="shared" ref="N42:P42" si="18">N39/N40</f>
        <v>11.93865538</v>
      </c>
      <c r="O42" s="46">
        <f t="shared" si="18"/>
        <v>12.68770766</v>
      </c>
      <c r="P42" s="46">
        <f t="shared" si="18"/>
        <v>10.81478417</v>
      </c>
      <c r="Q42" s="46">
        <f>Q21*J7</f>
        <v>4.669347544</v>
      </c>
      <c r="R42" s="1"/>
      <c r="S42" s="1"/>
      <c r="T42" s="1"/>
      <c r="U42" s="1"/>
      <c r="V42" s="1"/>
      <c r="W42" s="1"/>
      <c r="X42" s="1"/>
      <c r="Y42" s="1"/>
      <c r="Z42" s="1"/>
    </row>
    <row r="43" ht="6.0" customHeight="1">
      <c r="A43" s="1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8"/>
      <c r="Q43" s="48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49"/>
      <c r="N44" s="50" t="s">
        <v>43</v>
      </c>
      <c r="O44" s="50" t="s">
        <v>43</v>
      </c>
      <c r="P44" s="50" t="s">
        <v>43</v>
      </c>
      <c r="Q44" s="50" t="s">
        <v>43</v>
      </c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38" t="s">
        <v>44</v>
      </c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40"/>
      <c r="O46" s="41"/>
      <c r="P46" s="40"/>
      <c r="Q46" s="40"/>
      <c r="R46" s="1"/>
      <c r="S46" s="1"/>
      <c r="T46" s="1"/>
      <c r="U46" s="1"/>
      <c r="V46" s="1"/>
      <c r="W46" s="1"/>
      <c r="X46" s="1"/>
      <c r="Y46" s="1"/>
      <c r="Z46" s="1"/>
    </row>
    <row r="47" ht="3.75" customHeight="1">
      <c r="A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42" t="s">
        <v>38</v>
      </c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3">
        <f>N21*I8</f>
        <v>75476183.35</v>
      </c>
      <c r="O48" s="43">
        <f>O21*L8</f>
        <v>91555117.34</v>
      </c>
      <c r="P48" s="43">
        <f>+P50+P49</f>
        <v>80354908.02</v>
      </c>
      <c r="Q48" s="43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42" t="s">
        <v>10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>
        <f>F8</f>
        <v>36011610.21</v>
      </c>
      <c r="O49" s="43">
        <f>F8</f>
        <v>36011610.21</v>
      </c>
      <c r="P49" s="43">
        <f>F8</f>
        <v>36011610.21</v>
      </c>
      <c r="Q49" s="43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42" t="s">
        <v>39</v>
      </c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>
        <f t="shared" ref="N50:O50" si="19">N48-N49</f>
        <v>39464573.14</v>
      </c>
      <c r="O50" s="43">
        <f t="shared" si="19"/>
        <v>55543507.13</v>
      </c>
      <c r="P50" s="43">
        <f>P21*K8</f>
        <v>44343297.81</v>
      </c>
      <c r="Q50" s="43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42" t="s">
        <v>40</v>
      </c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>
        <f>D8</f>
        <v>3740203.17</v>
      </c>
      <c r="O51" s="43">
        <f>D8</f>
        <v>3740203.17</v>
      </c>
      <c r="P51" s="43">
        <f>D8</f>
        <v>3740203.17</v>
      </c>
      <c r="Q51" s="43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N52" s="44"/>
      <c r="O52" s="44"/>
      <c r="P52" s="44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45" t="s">
        <v>41</v>
      </c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6">
        <f t="shared" ref="N53:P53" si="20">N50/N51</f>
        <v>10.55145171</v>
      </c>
      <c r="O53" s="46">
        <f t="shared" si="20"/>
        <v>14.85039839</v>
      </c>
      <c r="P53" s="46">
        <f t="shared" si="20"/>
        <v>11.85585269</v>
      </c>
      <c r="Q53" s="46">
        <f>Q21*J8</f>
        <v>9.079286891</v>
      </c>
      <c r="R53" s="1"/>
      <c r="S53" s="1"/>
      <c r="T53" s="1"/>
      <c r="U53" s="1"/>
      <c r="V53" s="1"/>
      <c r="W53" s="1"/>
      <c r="X53" s="1"/>
      <c r="Y53" s="1"/>
      <c r="Z53" s="1"/>
    </row>
    <row r="54" ht="6.0" customHeight="1">
      <c r="A54" s="1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8"/>
      <c r="Q54" s="48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49"/>
      <c r="N55" s="50" t="s">
        <v>43</v>
      </c>
      <c r="O55" s="50" t="s">
        <v>43</v>
      </c>
      <c r="P55" s="50" t="s">
        <v>43</v>
      </c>
      <c r="Q55" s="50" t="s">
        <v>43</v>
      </c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33:D33"/>
    <mergeCell ref="B44:D44"/>
    <mergeCell ref="B55:D55"/>
    <mergeCell ref="B2:M2"/>
    <mergeCell ref="N2:Q2"/>
    <mergeCell ref="B3:P3"/>
    <mergeCell ref="B4:B5"/>
    <mergeCell ref="C4:G4"/>
    <mergeCell ref="I4:L4"/>
    <mergeCell ref="N4:Q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4.0"/>
    <col customWidth="1" min="2" max="2" width="5.44"/>
    <col customWidth="1" min="3" max="3" width="14.44"/>
    <col customWidth="1" min="4" max="4" width="13.33"/>
    <col customWidth="1" min="5" max="5" width="16.67"/>
    <col customWidth="1" min="6" max="6" width="20.0"/>
    <col customWidth="1" min="7" max="9" width="13.33"/>
    <col customWidth="1" min="10" max="10" width="14.67"/>
    <col customWidth="1" min="11" max="12" width="12.67"/>
    <col customWidth="1" min="13" max="13" width="11.67"/>
    <col customWidth="1" min="14" max="26" width="10.56"/>
  </cols>
  <sheetData>
    <row r="1" ht="15.75" customHeight="1">
      <c r="B1" s="51" t="s">
        <v>45</v>
      </c>
      <c r="J1" s="52" t="s">
        <v>1</v>
      </c>
      <c r="N1" s="53"/>
    </row>
    <row r="2" ht="33.0" customHeight="1">
      <c r="A2" s="54"/>
      <c r="B2" s="55" t="s">
        <v>46</v>
      </c>
      <c r="C2" s="55" t="s">
        <v>3</v>
      </c>
      <c r="D2" s="55" t="s">
        <v>7</v>
      </c>
      <c r="E2" s="55" t="s">
        <v>8</v>
      </c>
      <c r="F2" s="55" t="s">
        <v>47</v>
      </c>
      <c r="G2" s="55" t="s">
        <v>48</v>
      </c>
      <c r="H2" s="55" t="s">
        <v>49</v>
      </c>
      <c r="I2" s="55" t="s">
        <v>10</v>
      </c>
      <c r="J2" s="55" t="s">
        <v>11</v>
      </c>
      <c r="K2" s="55" t="s">
        <v>50</v>
      </c>
      <c r="L2" s="55" t="s">
        <v>13</v>
      </c>
      <c r="M2" s="55" t="s">
        <v>51</v>
      </c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ht="15.75" customHeight="1">
      <c r="A3" s="56"/>
      <c r="B3" s="57">
        <v>1.0</v>
      </c>
      <c r="C3" s="58" t="s">
        <v>20</v>
      </c>
      <c r="D3" s="59">
        <v>28.55</v>
      </c>
      <c r="E3" s="60">
        <v>4828907.38</v>
      </c>
      <c r="F3" s="59">
        <f t="shared" ref="F3:F12" si="1">D3*E3</f>
        <v>137865305.7</v>
      </c>
      <c r="G3" s="59">
        <v>7.025E7</v>
      </c>
      <c r="H3" s="59">
        <v>3.287223061E7</v>
      </c>
      <c r="I3" s="59">
        <f t="shared" ref="I3:I12" si="2">G3-H3</f>
        <v>37377769.39</v>
      </c>
      <c r="J3" s="59">
        <f t="shared" ref="J3:J12" si="3">F3+G3-H3</f>
        <v>175243075.1</v>
      </c>
      <c r="K3" s="59">
        <v>1.3707165888E8</v>
      </c>
      <c r="L3" s="59">
        <v>3.89</v>
      </c>
      <c r="M3" s="59">
        <v>1.494667926E7</v>
      </c>
      <c r="N3" s="61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5.75" customHeight="1">
      <c r="A4" s="56"/>
      <c r="B4" s="57">
        <v>2.0</v>
      </c>
      <c r="C4" s="58" t="s">
        <v>21</v>
      </c>
      <c r="D4" s="59">
        <v>3.55</v>
      </c>
      <c r="E4" s="60">
        <v>1486808.3</v>
      </c>
      <c r="F4" s="59">
        <f t="shared" si="1"/>
        <v>5278169.465</v>
      </c>
      <c r="G4" s="59">
        <v>3121980.14</v>
      </c>
      <c r="H4" s="59">
        <v>4275259.03</v>
      </c>
      <c r="I4" s="59">
        <f t="shared" si="2"/>
        <v>-1153278.89</v>
      </c>
      <c r="J4" s="59">
        <f t="shared" si="3"/>
        <v>4124890.575</v>
      </c>
      <c r="K4" s="59">
        <v>1.76885407E7</v>
      </c>
      <c r="L4" s="62">
        <v>0.72</v>
      </c>
      <c r="M4" s="59">
        <v>1614542.25</v>
      </c>
      <c r="N4" s="61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 ht="15.75" customHeight="1">
      <c r="A5" s="56"/>
      <c r="B5" s="57">
        <v>3.0</v>
      </c>
      <c r="C5" s="58" t="s">
        <v>22</v>
      </c>
      <c r="D5" s="59">
        <v>6.08</v>
      </c>
      <c r="E5" s="60">
        <v>3740203.17</v>
      </c>
      <c r="F5" s="59">
        <f t="shared" si="1"/>
        <v>22740435.27</v>
      </c>
      <c r="G5" s="59">
        <v>4.953136215E7</v>
      </c>
      <c r="H5" s="59">
        <v>1.351975194E7</v>
      </c>
      <c r="I5" s="59">
        <f t="shared" si="2"/>
        <v>36011610.21</v>
      </c>
      <c r="J5" s="59">
        <f t="shared" si="3"/>
        <v>58752045.48</v>
      </c>
      <c r="K5" s="59">
        <v>8.043901944E7</v>
      </c>
      <c r="L5" s="59">
        <v>1.4</v>
      </c>
      <c r="M5" s="59">
        <v>8346245.55</v>
      </c>
      <c r="N5" s="61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5.75" customHeight="1">
      <c r="B6" s="63">
        <v>4.0</v>
      </c>
      <c r="C6" s="64" t="s">
        <v>23</v>
      </c>
      <c r="D6" s="62">
        <v>194.61</v>
      </c>
      <c r="E6" s="65">
        <v>1.347417203E7</v>
      </c>
      <c r="F6" s="59">
        <f t="shared" si="1"/>
        <v>2622208619</v>
      </c>
      <c r="G6" s="59">
        <v>2.3183506652E8</v>
      </c>
      <c r="H6" s="62">
        <v>8.949708952E7</v>
      </c>
      <c r="I6" s="59">
        <f t="shared" si="2"/>
        <v>142337977</v>
      </c>
      <c r="J6" s="59">
        <f t="shared" si="3"/>
        <v>2764546596</v>
      </c>
      <c r="K6" s="62">
        <v>2.9419399389E8</v>
      </c>
      <c r="L6" s="62">
        <v>0.27</v>
      </c>
      <c r="M6" s="62">
        <v>5.354789926E7</v>
      </c>
      <c r="N6" s="66"/>
    </row>
    <row r="7" ht="15.75" customHeight="1">
      <c r="B7" s="63">
        <v>5.0</v>
      </c>
      <c r="C7" s="64" t="s">
        <v>24</v>
      </c>
      <c r="D7" s="62">
        <v>95.09</v>
      </c>
      <c r="E7" s="65">
        <v>501295.26</v>
      </c>
      <c r="F7" s="59">
        <f t="shared" si="1"/>
        <v>47668166.27</v>
      </c>
      <c r="G7" s="62">
        <v>2.0015684656E8</v>
      </c>
      <c r="H7" s="62">
        <v>7.730162006E7</v>
      </c>
      <c r="I7" s="59">
        <f t="shared" si="2"/>
        <v>122855226.5</v>
      </c>
      <c r="J7" s="59">
        <f t="shared" si="3"/>
        <v>170523392.8</v>
      </c>
      <c r="K7" s="62">
        <v>3.3480445774E8</v>
      </c>
      <c r="L7" s="62">
        <v>25.2</v>
      </c>
      <c r="M7" s="62">
        <v>5.436900217E7</v>
      </c>
      <c r="N7" s="66"/>
    </row>
    <row r="8" ht="15.75" customHeight="1">
      <c r="B8" s="63">
        <v>6.0</v>
      </c>
      <c r="C8" s="64" t="s">
        <v>25</v>
      </c>
      <c r="D8" s="62">
        <v>34.0</v>
      </c>
      <c r="E8" s="65">
        <v>2909265.86</v>
      </c>
      <c r="F8" s="59">
        <f t="shared" si="1"/>
        <v>98915039.24</v>
      </c>
      <c r="G8" s="62">
        <v>6740447.85</v>
      </c>
      <c r="H8" s="62">
        <v>1.251784466E7</v>
      </c>
      <c r="I8" s="59">
        <f t="shared" si="2"/>
        <v>-5777396.81</v>
      </c>
      <c r="J8" s="59">
        <f t="shared" si="3"/>
        <v>93137642.43</v>
      </c>
      <c r="K8" s="62">
        <v>9.310369772E7</v>
      </c>
      <c r="L8" s="62">
        <v>1.59</v>
      </c>
      <c r="M8" s="62">
        <v>6096272.81</v>
      </c>
      <c r="N8" s="66"/>
    </row>
    <row r="9" ht="15.75" customHeight="1">
      <c r="B9" s="63">
        <v>7.0</v>
      </c>
      <c r="C9" s="64" t="s">
        <v>26</v>
      </c>
      <c r="D9" s="62">
        <v>53.27</v>
      </c>
      <c r="E9" s="65">
        <v>1200000.0</v>
      </c>
      <c r="F9" s="59">
        <f t="shared" si="1"/>
        <v>63924000</v>
      </c>
      <c r="G9" s="62">
        <v>1.22648E8</v>
      </c>
      <c r="H9" s="62">
        <v>2.6466E7</v>
      </c>
      <c r="I9" s="59">
        <f t="shared" si="2"/>
        <v>96182000</v>
      </c>
      <c r="J9" s="59">
        <f t="shared" si="3"/>
        <v>160106000</v>
      </c>
      <c r="K9" s="62">
        <v>1.82719E8</v>
      </c>
      <c r="L9" s="62">
        <v>9.46</v>
      </c>
      <c r="M9" s="62">
        <v>2.5371E7</v>
      </c>
      <c r="N9" s="66"/>
    </row>
    <row r="10" ht="15.75" customHeight="1">
      <c r="B10" s="63">
        <v>8.0</v>
      </c>
      <c r="C10" s="64" t="s">
        <v>27</v>
      </c>
      <c r="D10" s="62">
        <v>9.9</v>
      </c>
      <c r="E10" s="65">
        <v>3999960.12</v>
      </c>
      <c r="F10" s="59">
        <f t="shared" si="1"/>
        <v>39599605.19</v>
      </c>
      <c r="G10" s="62">
        <v>1.57258E8</v>
      </c>
      <c r="H10" s="62">
        <v>2.3726E7</v>
      </c>
      <c r="I10" s="59">
        <f t="shared" si="2"/>
        <v>133532000</v>
      </c>
      <c r="J10" s="59">
        <f t="shared" si="3"/>
        <v>173131605.2</v>
      </c>
      <c r="K10" s="62">
        <v>4.6196E7</v>
      </c>
      <c r="L10" s="62">
        <v>0.89</v>
      </c>
      <c r="M10" s="62">
        <v>1.0381E7</v>
      </c>
      <c r="N10" s="66"/>
    </row>
    <row r="11" ht="15.75" customHeight="1">
      <c r="B11" s="63">
        <v>9.0</v>
      </c>
      <c r="C11" s="64" t="s">
        <v>28</v>
      </c>
      <c r="D11" s="62">
        <v>2.83</v>
      </c>
      <c r="E11" s="65">
        <v>1.157529945E7</v>
      </c>
      <c r="F11" s="59">
        <f t="shared" si="1"/>
        <v>32758097.44</v>
      </c>
      <c r="G11" s="62">
        <v>2.427552189E7</v>
      </c>
      <c r="H11" s="62">
        <v>3.110752082E7</v>
      </c>
      <c r="I11" s="59">
        <f t="shared" si="2"/>
        <v>-6831998.93</v>
      </c>
      <c r="J11" s="59">
        <f t="shared" si="3"/>
        <v>25926098.51</v>
      </c>
      <c r="K11" s="62">
        <v>8.894906231E7</v>
      </c>
      <c r="L11" s="62">
        <v>0.84</v>
      </c>
      <c r="M11" s="62">
        <v>2538120.23</v>
      </c>
      <c r="N11" s="66"/>
    </row>
    <row r="12" ht="15.75" customHeight="1">
      <c r="B12" s="63">
        <v>10.0</v>
      </c>
      <c r="C12" s="64" t="s">
        <v>29</v>
      </c>
      <c r="D12" s="62">
        <v>403.84</v>
      </c>
      <c r="E12" s="65">
        <v>3207000.0</v>
      </c>
      <c r="F12" s="59">
        <f t="shared" si="1"/>
        <v>1295114880</v>
      </c>
      <c r="G12" s="62">
        <v>1.2783E7</v>
      </c>
      <c r="H12" s="62">
        <v>3.3648E7</v>
      </c>
      <c r="I12" s="59">
        <f t="shared" si="2"/>
        <v>-20865000</v>
      </c>
      <c r="J12" s="59">
        <f t="shared" si="3"/>
        <v>1274249880</v>
      </c>
      <c r="K12" s="62">
        <v>9.715E7</v>
      </c>
      <c r="L12" s="62">
        <v>4.01</v>
      </c>
      <c r="M12" s="62">
        <v>1.3834E7</v>
      </c>
      <c r="N12" s="66"/>
    </row>
    <row r="13" ht="15.75" customHeight="1">
      <c r="D13" s="32"/>
      <c r="E13" s="32"/>
      <c r="F13" s="32"/>
      <c r="G13" s="32"/>
      <c r="H13" s="32"/>
      <c r="I13" s="32"/>
      <c r="J13" s="32"/>
      <c r="K13" s="32"/>
      <c r="L13" s="32"/>
      <c r="M13" s="32"/>
    </row>
    <row r="14" ht="15.75" customHeight="1">
      <c r="K14" s="44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I1"/>
    <mergeCell ref="J1:M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2025-01-05T16:28:24Z</dcterms:created>
  <dc:creator>Microsoft Office User</dc:creator>
</cp:coreProperties>
</file>