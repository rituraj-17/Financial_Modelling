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22932" windowHeight="10032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23" i="1"/>
  <c r="B22"/>
  <c r="B21"/>
  <c r="B20"/>
  <c r="B7"/>
  <c r="B18"/>
</calcChain>
</file>

<file path=xl/sharedStrings.xml><?xml version="1.0" encoding="utf-8"?>
<sst xmlns="http://schemas.openxmlformats.org/spreadsheetml/2006/main" count="16" uniqueCount="16">
  <si>
    <t>ALL NUMBERS IN THOUSANDS</t>
  </si>
  <si>
    <t>TOTAL ASSETS</t>
  </si>
  <si>
    <t>TOTAL DEBT</t>
  </si>
  <si>
    <t>REVENUE</t>
  </si>
  <si>
    <t>OPERATING INCOME</t>
  </si>
  <si>
    <t>EBITDA</t>
  </si>
  <si>
    <t>EPS</t>
  </si>
  <si>
    <t>NUMBER OF OUTSTANDING SHARES</t>
  </si>
  <si>
    <t>MC</t>
  </si>
  <si>
    <t>PRICE PER SHARE</t>
  </si>
  <si>
    <t>EV</t>
  </si>
  <si>
    <t>CASH AND CASH EQUIVALENTS</t>
  </si>
  <si>
    <t>Depreciation and amortization</t>
  </si>
  <si>
    <t>EV/REVENUE</t>
  </si>
  <si>
    <t>EV/EBITDA</t>
  </si>
  <si>
    <t>P/E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</si>
</sst>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232A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3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>
      <selection activeCell="B24" sqref="B24"/>
    </sheetView>
  </sheetViews>
  <sheetFormatPr defaultRowHeight="14.4"/>
  <cols>
    <col min="1" max="1" width="38.109375" customWidth="1"/>
    <col min="2" max="2" width="27.55468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</row>
    <row r="3" spans="1:10">
      <c r="A3" t="s">
        <v>2</v>
      </c>
      <c r="B3" s="3">
        <v>340600</v>
      </c>
    </row>
    <row r="4" spans="1:10">
      <c r="A4" t="s">
        <v>3</v>
      </c>
      <c r="B4" s="3">
        <v>259691</v>
      </c>
    </row>
    <row r="5" spans="1:10">
      <c r="A5" t="s">
        <v>4</v>
      </c>
      <c r="B5" s="3">
        <v>55448</v>
      </c>
    </row>
    <row r="6" spans="1:10">
      <c r="A6" t="s">
        <v>11</v>
      </c>
      <c r="B6" s="2">
        <v>27606</v>
      </c>
    </row>
    <row r="7" spans="1:10">
      <c r="A7" t="s">
        <v>5</v>
      </c>
      <c r="B7" s="3">
        <f>B8+B6</f>
        <v>54647</v>
      </c>
    </row>
    <row r="8" spans="1:10">
      <c r="A8" t="s">
        <v>12</v>
      </c>
      <c r="B8" s="2">
        <v>27041</v>
      </c>
    </row>
    <row r="15" spans="1:10">
      <c r="A15" t="s">
        <v>7</v>
      </c>
      <c r="B15" s="2">
        <v>175020471</v>
      </c>
    </row>
    <row r="16" spans="1:10">
      <c r="A16" t="s">
        <v>6</v>
      </c>
      <c r="B16" s="4">
        <v>-0.32</v>
      </c>
    </row>
    <row r="17" spans="1:2">
      <c r="A17" t="s">
        <v>9</v>
      </c>
      <c r="B17">
        <v>7</v>
      </c>
    </row>
    <row r="18" spans="1:2">
      <c r="A18" t="s">
        <v>8</v>
      </c>
      <c r="B18">
        <f>B15*B17</f>
        <v>1225143297</v>
      </c>
    </row>
    <row r="20" spans="1:2">
      <c r="A20" t="s">
        <v>10</v>
      </c>
      <c r="B20">
        <f>B18+B3*1000 - B6*1000</f>
        <v>1538137297</v>
      </c>
    </row>
    <row r="21" spans="1:2">
      <c r="A21" t="s">
        <v>14</v>
      </c>
      <c r="B21">
        <f>B20/B7/1000</f>
        <v>28.146783849067653</v>
      </c>
    </row>
    <row r="22" spans="1:2">
      <c r="A22" t="s">
        <v>13</v>
      </c>
      <c r="B22">
        <f>B20/B4/1000</f>
        <v>5.9229518812742832</v>
      </c>
    </row>
    <row r="23" spans="1:2">
      <c r="A23" t="s">
        <v>15</v>
      </c>
      <c r="B23">
        <f>B17/B16</f>
        <v>-21.875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2024-12-23T17:09:18Z</dcterms:created>
  <dcterms:modified xsi:type="dcterms:W3CDTF">2024-12-23T17:27:46Z</dcterms:modified>
</cp:coreProperties>
</file>