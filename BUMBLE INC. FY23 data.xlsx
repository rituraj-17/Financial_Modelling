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31" i="1"/>
  <c r="B29"/>
  <c r="B28"/>
  <c r="B12"/>
  <c r="B18"/>
  <c r="B24" s="1"/>
</calcChain>
</file>

<file path=xl/sharedStrings.xml><?xml version="1.0" encoding="utf-8"?>
<sst xmlns="http://schemas.openxmlformats.org/spreadsheetml/2006/main" count="21" uniqueCount="21">
  <si>
    <t>TOTAL ASSETS</t>
  </si>
  <si>
    <t>TOTAL LIABILITIES</t>
  </si>
  <si>
    <t>TOTAL SHAREHOLDER'S EQUITY</t>
  </si>
  <si>
    <t>Total liabilities and shareholder's equity</t>
  </si>
  <si>
    <t xml:space="preserve">REVENUE </t>
  </si>
  <si>
    <t>TOTAL OPERATING COSTS AND EXPENSES</t>
  </si>
  <si>
    <t>PER SHARE PRICE (at 31/12/2023)</t>
  </si>
  <si>
    <t>NUMBER OF OUTSTANDING STOCKS</t>
  </si>
  <si>
    <t>ALL THE MONEY DATA IS IN THOUSANDS, EXCEPT PER SHARE DATA AND STOCKS IS NOT IN THOUSANDS</t>
  </si>
  <si>
    <t>MC(MARKET CAPITILIZATION)</t>
  </si>
  <si>
    <t>depreciation and amortization expenses</t>
  </si>
  <si>
    <t>OPERATING EARNINGS</t>
  </si>
  <si>
    <t>CASH AND CASH EQUIVALENTS</t>
  </si>
  <si>
    <t>TOTAL DEBT</t>
  </si>
  <si>
    <t>EBITDA</t>
  </si>
  <si>
    <t>EV/EBITDA</t>
  </si>
  <si>
    <t>EV/REVENUE</t>
  </si>
  <si>
    <t>EV(ENTERPRISE VALUE) (this is not in thousands)</t>
  </si>
  <si>
    <t xml:space="preserve">EPS </t>
  </si>
  <si>
    <t>P/E</t>
  </si>
  <si>
    <t>ALL THE DATA IS IN ITS TRUE FORM (NOT IN THOUSANDS)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</si>
</sst>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3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>
      <selection activeCell="B31" sqref="B31"/>
    </sheetView>
  </sheetViews>
  <sheetFormatPr defaultRowHeight="14.4"/>
  <cols>
    <col min="1" max="1" width="42.88671875" customWidth="1"/>
    <col min="2" max="2" width="27.5546875" customWidth="1"/>
  </cols>
  <sheetData>
    <row r="1" spans="1:9">
      <c r="A1" s="7" t="s">
        <v>8</v>
      </c>
      <c r="B1" s="7"/>
      <c r="C1" s="7"/>
      <c r="D1" s="7"/>
      <c r="E1" s="7"/>
      <c r="F1" s="7"/>
      <c r="G1" s="7"/>
      <c r="H1" s="7"/>
      <c r="I1" s="7"/>
    </row>
    <row r="2" spans="1:9">
      <c r="A2" s="4" t="s">
        <v>0</v>
      </c>
      <c r="B2" s="3">
        <v>3625127</v>
      </c>
    </row>
    <row r="3" spans="1:9">
      <c r="A3" s="5" t="s">
        <v>1</v>
      </c>
      <c r="B3" s="3">
        <v>1287854</v>
      </c>
      <c r="C3" s="2"/>
    </row>
    <row r="4" spans="1:9">
      <c r="A4" s="4" t="s">
        <v>2</v>
      </c>
      <c r="B4" s="3">
        <v>2337273</v>
      </c>
    </row>
    <row r="5" spans="1:9">
      <c r="A5" s="2" t="s">
        <v>3</v>
      </c>
      <c r="B5" s="3">
        <v>3625127</v>
      </c>
    </row>
    <row r="6" spans="1:9">
      <c r="A6" s="2" t="s">
        <v>12</v>
      </c>
      <c r="B6" s="1">
        <v>355642</v>
      </c>
    </row>
    <row r="7" spans="1:9">
      <c r="A7" s="2" t="s">
        <v>4</v>
      </c>
      <c r="B7" s="3">
        <v>1051830</v>
      </c>
    </row>
    <row r="8" spans="1:9">
      <c r="A8" s="2" t="s">
        <v>10</v>
      </c>
      <c r="B8" s="3">
        <v>68028</v>
      </c>
    </row>
    <row r="9" spans="1:9">
      <c r="A9" s="2" t="s">
        <v>5</v>
      </c>
      <c r="B9" s="3">
        <v>998457</v>
      </c>
    </row>
    <row r="10" spans="1:9">
      <c r="A10" s="2" t="s">
        <v>11</v>
      </c>
      <c r="B10" s="3">
        <v>53373</v>
      </c>
    </row>
    <row r="11" spans="1:9">
      <c r="A11" s="2" t="s">
        <v>13</v>
      </c>
      <c r="B11" s="1">
        <v>620926</v>
      </c>
    </row>
    <row r="12" spans="1:9">
      <c r="A12" s="6" t="s">
        <v>14</v>
      </c>
      <c r="B12" s="1">
        <f>B10+B8</f>
        <v>121401</v>
      </c>
    </row>
    <row r="13" spans="1:9">
      <c r="A13" s="6"/>
      <c r="B13" s="1"/>
    </row>
    <row r="14" spans="1:9">
      <c r="A14" s="9" t="s">
        <v>20</v>
      </c>
      <c r="B14" s="9"/>
      <c r="C14" s="9"/>
      <c r="D14" s="9"/>
      <c r="E14" s="9"/>
      <c r="F14" s="9"/>
      <c r="G14" s="9"/>
      <c r="H14" s="9"/>
      <c r="I14" s="8"/>
    </row>
    <row r="15" spans="1:9">
      <c r="A15" s="2" t="s">
        <v>6</v>
      </c>
      <c r="B15" s="2">
        <v>14.72</v>
      </c>
    </row>
    <row r="16" spans="1:9">
      <c r="A16" s="2"/>
      <c r="B16" s="2"/>
    </row>
    <row r="17" spans="1:2">
      <c r="A17" s="2" t="s">
        <v>7</v>
      </c>
      <c r="B17" s="1">
        <v>130687629</v>
      </c>
    </row>
    <row r="18" spans="1:2">
      <c r="A18" s="2" t="s">
        <v>9</v>
      </c>
      <c r="B18">
        <f>B15*B17</f>
        <v>1923721898.8800001</v>
      </c>
    </row>
    <row r="19" spans="1:2">
      <c r="A19" t="s">
        <v>18</v>
      </c>
      <c r="B19">
        <v>-0.03</v>
      </c>
    </row>
    <row r="24" spans="1:2">
      <c r="A24" t="s">
        <v>17</v>
      </c>
      <c r="B24" s="1">
        <f>B18+B11*1000-B6*1000</f>
        <v>2189005898.8800001</v>
      </c>
    </row>
    <row r="26" spans="1:2">
      <c r="B26" s="1"/>
    </row>
    <row r="28" spans="1:2">
      <c r="A28" t="s">
        <v>15</v>
      </c>
      <c r="B28">
        <f>B24/B12/1000</f>
        <v>18.031201545951021</v>
      </c>
    </row>
    <row r="29" spans="1:2">
      <c r="A29" t="s">
        <v>16</v>
      </c>
      <c r="B29">
        <f>B24/B7/1000</f>
        <v>2.0811403923447704</v>
      </c>
    </row>
    <row r="31" spans="1:2">
      <c r="A31" t="s">
        <v>19</v>
      </c>
      <c r="B31">
        <f>B15/B19</f>
        <v>-490.66666666666669</v>
      </c>
    </row>
  </sheetData>
  <mergeCells count="2">
    <mergeCell ref="A1:I1"/>
    <mergeCell ref="A14:H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2024-12-23T10:07:06Z</dcterms:created>
  <dcterms:modified xsi:type="dcterms:W3CDTF">2024-12-23T13:41:13Z</dcterms:modified>
</cp:coreProperties>
</file>